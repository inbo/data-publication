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mitri_brosens\Documents\Github\data-publication\datasets\mediteranian-medetara-occurrences\data\interim\"/>
    </mc:Choice>
  </mc:AlternateContent>
  <xr:revisionPtr revIDLastSave="0" documentId="8_{6FC5EEAE-BF4A-4ECB-A5D3-E3ED8BACAB69}" xr6:coauthVersionLast="47" xr6:coauthVersionMax="47" xr10:uidLastSave="{00000000-0000-0000-0000-000000000000}"/>
  <bookViews>
    <workbookView xWindow="19090" yWindow="-110" windowWidth="38620" windowHeight="21220" xr2:uid="{00000000-000D-0000-FFFF-FFFF00000000}"/>
  </bookViews>
  <sheets>
    <sheet name="GBIF_Medetera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1" l="1" a="1"/>
  <c r="M7" i="1" a="1"/>
  <c r="M11" i="1" a="1"/>
  <c r="M15" i="1" a="1"/>
  <c r="M19" i="1" a="1"/>
  <c r="M23" i="1" a="1"/>
  <c r="M27" i="1" a="1"/>
  <c r="M31" i="1" a="1"/>
  <c r="M35" i="1" a="1"/>
  <c r="M39" i="1" a="1"/>
  <c r="M43" i="1" a="1"/>
  <c r="M47" i="1" a="1"/>
  <c r="M51" i="1" a="1"/>
  <c r="M55" i="1" a="1"/>
  <c r="M59" i="1" a="1"/>
  <c r="M63" i="1" a="1"/>
  <c r="M67" i="1" a="1"/>
  <c r="M71" i="1" a="1"/>
  <c r="M75" i="1" a="1"/>
  <c r="M79" i="1" a="1"/>
  <c r="M83" i="1" a="1"/>
  <c r="M87" i="1" a="1"/>
  <c r="M91" i="1" a="1"/>
  <c r="M95" i="1" a="1"/>
  <c r="M99" i="1" a="1"/>
  <c r="M103" i="1" a="1"/>
  <c r="M107" i="1" a="1"/>
  <c r="M111" i="1" a="1"/>
  <c r="M115" i="1" a="1"/>
  <c r="M119" i="1" a="1"/>
  <c r="M123" i="1" a="1"/>
  <c r="M127" i="1" a="1"/>
  <c r="M131" i="1" a="1"/>
  <c r="M135" i="1" a="1"/>
  <c r="M139" i="1" a="1"/>
  <c r="M143" i="1" a="1"/>
  <c r="M147" i="1" a="1"/>
  <c r="M151" i="1" a="1"/>
  <c r="M8" i="1" a="1"/>
  <c r="M12" i="1" a="1"/>
  <c r="M16" i="1" a="1"/>
  <c r="M24" i="1" a="1"/>
  <c r="M28" i="1" a="1"/>
  <c r="M36" i="1" a="1"/>
  <c r="M44" i="1" a="1"/>
  <c r="M52" i="1" a="1"/>
  <c r="M60" i="1" a="1"/>
  <c r="M68" i="1" a="1"/>
  <c r="M76" i="1" a="1"/>
  <c r="M84" i="1" a="1"/>
  <c r="M96" i="1" a="1"/>
  <c r="M104" i="1" a="1"/>
  <c r="M112" i="1" a="1"/>
  <c r="M120" i="1" a="1"/>
  <c r="M128" i="1" a="1"/>
  <c r="M136" i="1" a="1"/>
  <c r="M140" i="1" a="1"/>
  <c r="M148" i="1" a="1"/>
  <c r="M4" i="1" a="1"/>
  <c r="M6" i="1" a="1"/>
  <c r="M10" i="1" a="1"/>
  <c r="M14" i="1" a="1"/>
  <c r="M18" i="1" a="1"/>
  <c r="M22" i="1" a="1"/>
  <c r="M26" i="1" a="1"/>
  <c r="M30" i="1" a="1"/>
  <c r="M34" i="1" a="1"/>
  <c r="M38" i="1" a="1"/>
  <c r="M42" i="1" a="1"/>
  <c r="M46" i="1" a="1"/>
  <c r="M50" i="1" a="1"/>
  <c r="M54" i="1" a="1"/>
  <c r="M58" i="1" a="1"/>
  <c r="M62" i="1" a="1"/>
  <c r="M66" i="1" a="1"/>
  <c r="M70" i="1" a="1"/>
  <c r="M74" i="1" a="1"/>
  <c r="M78" i="1" a="1"/>
  <c r="M82" i="1" a="1"/>
  <c r="M86" i="1" a="1"/>
  <c r="M90" i="1" a="1"/>
  <c r="M94" i="1" a="1"/>
  <c r="M98" i="1" a="1"/>
  <c r="M102" i="1" a="1"/>
  <c r="M106" i="1" a="1"/>
  <c r="M110" i="1" a="1"/>
  <c r="M114" i="1" a="1"/>
  <c r="M118" i="1" a="1"/>
  <c r="M122" i="1" a="1"/>
  <c r="M126" i="1" a="1"/>
  <c r="M130" i="1" a="1"/>
  <c r="M134" i="1" a="1"/>
  <c r="M138" i="1" a="1"/>
  <c r="M142" i="1" a="1"/>
  <c r="M146" i="1" a="1"/>
  <c r="M150" i="1" a="1"/>
  <c r="M20" i="1" a="1"/>
  <c r="M32" i="1" a="1"/>
  <c r="M40" i="1" a="1"/>
  <c r="M48" i="1" a="1"/>
  <c r="M56" i="1" a="1"/>
  <c r="M64" i="1" a="1"/>
  <c r="M72" i="1" a="1"/>
  <c r="M80" i="1" a="1"/>
  <c r="M88" i="1" a="1"/>
  <c r="M92" i="1" a="1"/>
  <c r="M100" i="1" a="1"/>
  <c r="M108" i="1" a="1"/>
  <c r="M116" i="1" a="1"/>
  <c r="M124" i="1" a="1"/>
  <c r="M132" i="1" a="1"/>
  <c r="M144" i="1" a="1"/>
  <c r="M5" i="1" a="1"/>
  <c r="M21" i="1" a="1"/>
  <c r="M37" i="1" a="1"/>
  <c r="M53" i="1" a="1"/>
  <c r="M69" i="1" a="1"/>
  <c r="M85" i="1" a="1"/>
  <c r="M101" i="1" a="1"/>
  <c r="M117" i="1" a="1"/>
  <c r="M129" i="1" a="1"/>
  <c r="M9" i="1" a="1"/>
  <c r="M41" i="1" a="1"/>
  <c r="M73" i="1" a="1"/>
  <c r="M89" i="1" a="1"/>
  <c r="M105" i="1" a="1"/>
  <c r="M133" i="1" a="1"/>
  <c r="M29" i="1" a="1"/>
  <c r="M77" i="1" a="1"/>
  <c r="M125" i="1" a="1"/>
  <c r="M141" i="1" a="1"/>
  <c r="M25" i="1" a="1"/>
  <c r="M57" i="1" a="1"/>
  <c r="M121" i="1" a="1"/>
  <c r="M13" i="1" a="1"/>
  <c r="M61" i="1" a="1"/>
  <c r="M109" i="1" a="1"/>
  <c r="M145" i="1" a="1"/>
  <c r="M17" i="1" a="1"/>
  <c r="M33" i="1" a="1"/>
  <c r="M49" i="1" a="1"/>
  <c r="M65" i="1" a="1"/>
  <c r="M81" i="1" a="1"/>
  <c r="M97" i="1" a="1"/>
  <c r="M113" i="1" a="1"/>
  <c r="M137" i="1" a="1"/>
  <c r="M149" i="1" a="1"/>
  <c r="M45" i="1" a="1"/>
  <c r="M93" i="1" a="1"/>
  <c r="M2" i="1" a="1"/>
  <c r="M93" i="1" l="1"/>
  <c r="M45" i="1"/>
  <c r="M149" i="1"/>
  <c r="M137" i="1"/>
  <c r="M113" i="1"/>
  <c r="M97" i="1"/>
  <c r="M81" i="1"/>
  <c r="M65" i="1"/>
  <c r="M49" i="1"/>
  <c r="M33" i="1"/>
  <c r="M17" i="1"/>
  <c r="M145" i="1"/>
  <c r="M109" i="1"/>
  <c r="M61" i="1"/>
  <c r="M13" i="1"/>
  <c r="M121" i="1"/>
  <c r="M57" i="1"/>
  <c r="M25" i="1"/>
  <c r="M141" i="1"/>
  <c r="M125" i="1"/>
  <c r="M77" i="1"/>
  <c r="M29" i="1"/>
  <c r="M133" i="1"/>
  <c r="M105" i="1"/>
  <c r="M89" i="1"/>
  <c r="M73" i="1"/>
  <c r="M41" i="1"/>
  <c r="M9" i="1"/>
  <c r="M129" i="1"/>
  <c r="M117" i="1"/>
  <c r="M101" i="1"/>
  <c r="M85" i="1"/>
  <c r="M69" i="1"/>
  <c r="M53" i="1"/>
  <c r="M37" i="1"/>
  <c r="M21" i="1"/>
  <c r="M5" i="1"/>
  <c r="M144" i="1"/>
  <c r="M132" i="1"/>
  <c r="M124" i="1"/>
  <c r="M116" i="1"/>
  <c r="M108" i="1"/>
  <c r="M100" i="1"/>
  <c r="M92" i="1"/>
  <c r="M88" i="1"/>
  <c r="M80" i="1"/>
  <c r="M72" i="1"/>
  <c r="M64" i="1"/>
  <c r="M56" i="1"/>
  <c r="M48" i="1"/>
  <c r="M40" i="1"/>
  <c r="M32" i="1"/>
  <c r="M20" i="1"/>
  <c r="M150" i="1"/>
  <c r="M146" i="1"/>
  <c r="M142" i="1"/>
  <c r="M138" i="1"/>
  <c r="M134" i="1"/>
  <c r="M130" i="1"/>
  <c r="M126" i="1"/>
  <c r="M122" i="1"/>
  <c r="M118" i="1"/>
  <c r="M114" i="1"/>
  <c r="M110" i="1"/>
  <c r="M106" i="1"/>
  <c r="M102" i="1"/>
  <c r="M98" i="1"/>
  <c r="M94" i="1"/>
  <c r="M90" i="1"/>
  <c r="M86" i="1"/>
  <c r="M82" i="1"/>
  <c r="M78" i="1"/>
  <c r="M74" i="1"/>
  <c r="M70" i="1"/>
  <c r="M66" i="1"/>
  <c r="M62" i="1"/>
  <c r="M58" i="1"/>
  <c r="M54" i="1"/>
  <c r="M50" i="1"/>
  <c r="M46" i="1"/>
  <c r="M42" i="1"/>
  <c r="M38" i="1"/>
  <c r="M34" i="1"/>
  <c r="M30" i="1"/>
  <c r="M26" i="1"/>
  <c r="M22" i="1"/>
  <c r="M18" i="1"/>
  <c r="M14" i="1"/>
  <c r="M10" i="1"/>
  <c r="M6" i="1"/>
  <c r="M4" i="1"/>
  <c r="M148" i="1"/>
  <c r="M140" i="1"/>
  <c r="M136" i="1"/>
  <c r="M128" i="1"/>
  <c r="M120" i="1"/>
  <c r="M112" i="1"/>
  <c r="M104" i="1"/>
  <c r="M96" i="1"/>
  <c r="M84" i="1"/>
  <c r="M76" i="1"/>
  <c r="M68" i="1"/>
  <c r="M60" i="1"/>
  <c r="M52" i="1"/>
  <c r="M44" i="1"/>
  <c r="M36" i="1"/>
  <c r="M28" i="1"/>
  <c r="M24" i="1"/>
  <c r="M16" i="1"/>
  <c r="M12" i="1"/>
  <c r="M8" i="1"/>
  <c r="M151" i="1"/>
  <c r="M147" i="1"/>
  <c r="M143" i="1"/>
  <c r="M139" i="1"/>
  <c r="M135" i="1"/>
  <c r="M131" i="1"/>
  <c r="M127" i="1"/>
  <c r="M123" i="1"/>
  <c r="M119" i="1"/>
  <c r="M115" i="1"/>
  <c r="M111" i="1"/>
  <c r="M107" i="1"/>
  <c r="M103" i="1"/>
  <c r="M99" i="1"/>
  <c r="M95" i="1"/>
  <c r="M91" i="1"/>
  <c r="M87" i="1"/>
  <c r="M83" i="1"/>
  <c r="M79" i="1"/>
  <c r="M75" i="1"/>
  <c r="M71" i="1"/>
  <c r="M67" i="1"/>
  <c r="M63" i="1"/>
  <c r="M59" i="1"/>
  <c r="M55" i="1"/>
  <c r="M51" i="1"/>
  <c r="M47" i="1"/>
  <c r="M43" i="1"/>
  <c r="M39" i="1"/>
  <c r="M35" i="1"/>
  <c r="M31" i="1"/>
  <c r="M27" i="1"/>
  <c r="M23" i="1"/>
  <c r="M19" i="1"/>
  <c r="M15" i="1"/>
  <c r="M11" i="1"/>
  <c r="M7" i="1"/>
  <c r="M3" i="1"/>
  <c r="M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<sst xmlns="http://schemas.openxmlformats.org/spreadsheetml/2006/main" count="2813" uniqueCount="621">
  <si>
    <t>occurrenceID</t>
  </si>
  <si>
    <t>sample_cd</t>
  </si>
  <si>
    <t>country_cd</t>
  </si>
  <si>
    <t>region_cd</t>
  </si>
  <si>
    <t>province_cd</t>
  </si>
  <si>
    <t>district_cd</t>
  </si>
  <si>
    <t>district_nm</t>
  </si>
  <si>
    <t>municipality_PT_nm</t>
  </si>
  <si>
    <t>locality_nm</t>
  </si>
  <si>
    <t>location_nm</t>
  </si>
  <si>
    <t>sampling_site_cd</t>
  </si>
  <si>
    <t>latitude</t>
  </si>
  <si>
    <t>longitude</t>
  </si>
  <si>
    <t>altitude</t>
  </si>
  <si>
    <t>sampling_date_b</t>
  </si>
  <si>
    <t>sampling_date_e</t>
  </si>
  <si>
    <t>method_cd</t>
  </si>
  <si>
    <t>collector_nm</t>
  </si>
  <si>
    <t>species_cd</t>
  </si>
  <si>
    <t>species_nm_full</t>
  </si>
  <si>
    <t>mm</t>
  </si>
  <si>
    <t>ff</t>
  </si>
  <si>
    <t>ID_doubtful?</t>
  </si>
  <si>
    <t>coll_position_cd</t>
  </si>
  <si>
    <t>identified_by</t>
  </si>
  <si>
    <t>identified_date</t>
  </si>
  <si>
    <t>collection cd</t>
  </si>
  <si>
    <t>preservation_method_cd</t>
  </si>
  <si>
    <t>remarks_spm</t>
  </si>
  <si>
    <t>ES/2015/259/RA</t>
  </si>
  <si>
    <t>ES</t>
  </si>
  <si>
    <t>Aragón</t>
  </si>
  <si>
    <t>Huesca</t>
  </si>
  <si>
    <t>-</t>
  </si>
  <si>
    <t>Fraga</t>
  </si>
  <si>
    <t>0°16'32.8"E</t>
  </si>
  <si>
    <t>SW</t>
  </si>
  <si>
    <t>Rui Andrade</t>
  </si>
  <si>
    <t>MEDEAGLA</t>
  </si>
  <si>
    <t>Medetera aglaops Pollet, 2022</t>
  </si>
  <si>
    <t>RC/PAL/3415</t>
  </si>
  <si>
    <t>Marc Pollet</t>
  </si>
  <si>
    <t>MAPC</t>
  </si>
  <si>
    <t>W</t>
  </si>
  <si>
    <t>ES/2015/231/AG&amp;RA</t>
  </si>
  <si>
    <t>Castilla y León</t>
  </si>
  <si>
    <t>Burgos</t>
  </si>
  <si>
    <t>Villaquirán de los Infantes</t>
  </si>
  <si>
    <t>4°0'08.1"W</t>
  </si>
  <si>
    <t>HC</t>
  </si>
  <si>
    <t>Ana Gonçalves &amp; Rui Andrade</t>
  </si>
  <si>
    <t>ES/2014/215/RA</t>
  </si>
  <si>
    <t>Villasur de Herreros</t>
  </si>
  <si>
    <t>3°23'34.0"W</t>
  </si>
  <si>
    <t>halter dark</t>
  </si>
  <si>
    <t>ES/2014/216/RA&amp;AG</t>
  </si>
  <si>
    <t>Cataluña</t>
  </si>
  <si>
    <t>Lleida</t>
  </si>
  <si>
    <t>Pallars Sobirà</t>
  </si>
  <si>
    <t>Sort (Llessui)</t>
  </si>
  <si>
    <t>1°04'14.6"E</t>
  </si>
  <si>
    <t>Rui Andrade &amp; Ana Gonçalves</t>
  </si>
  <si>
    <t>ES/2015/315/RA</t>
  </si>
  <si>
    <t>Comunidad de Madrid</t>
  </si>
  <si>
    <t>Madrid</t>
  </si>
  <si>
    <t>Aranjuez</t>
  </si>
  <si>
    <t>0°12'44.6"E</t>
  </si>
  <si>
    <t>4dc, abdomen with dark pubescence, halter slighly infuscate, wing infuscate</t>
  </si>
  <si>
    <t>ES/2015/175/RA</t>
  </si>
  <si>
    <t>Extremadura</t>
  </si>
  <si>
    <t>Badajoz</t>
  </si>
  <si>
    <t>Valencia del Ventoso</t>
  </si>
  <si>
    <t>6°33'13.3"W</t>
  </si>
  <si>
    <t>ES/2016/337/RA&amp;AG</t>
  </si>
  <si>
    <t>Cáceres</t>
  </si>
  <si>
    <t>Abertura</t>
  </si>
  <si>
    <t>4°47'17.0"W</t>
  </si>
  <si>
    <t>ES/2014/236/RA</t>
  </si>
  <si>
    <t>Galicia</t>
  </si>
  <si>
    <t>Ourense</t>
  </si>
  <si>
    <t>Rubiá</t>
  </si>
  <si>
    <t>Covas</t>
  </si>
  <si>
    <t>6°50'13.0"W</t>
  </si>
  <si>
    <t>ABIGA/64729</t>
  </si>
  <si>
    <t>Folgoso do Courel</t>
  </si>
  <si>
    <t>Teixeira</t>
  </si>
  <si>
    <t>7º9'38.9"W</t>
  </si>
  <si>
    <t>J.L. Camaño</t>
  </si>
  <si>
    <t>RC/PAL/3293</t>
  </si>
  <si>
    <t>ABIGA/8302</t>
  </si>
  <si>
    <t>Quiroga</t>
  </si>
  <si>
    <t>San Martiño</t>
  </si>
  <si>
    <t>7º11'3.5"W</t>
  </si>
  <si>
    <t>ES/250308ST96/A007</t>
  </si>
  <si>
    <t>Valencia</t>
  </si>
  <si>
    <t>Alicante</t>
  </si>
  <si>
    <t>Alfaz del Pi</t>
  </si>
  <si>
    <t>0°06'04.4"W</t>
  </si>
  <si>
    <t>YPT/RPT</t>
  </si>
  <si>
    <t>A. Sendra</t>
  </si>
  <si>
    <t>RC/PAL/3667</t>
  </si>
  <si>
    <t>ES/250308ST58/A005</t>
  </si>
  <si>
    <t>ES/250308ST82/A006</t>
  </si>
  <si>
    <t>ES/290508PJ51</t>
  </si>
  <si>
    <t>Enguera</t>
  </si>
  <si>
    <t>Terrenos de labor</t>
  </si>
  <si>
    <t>0°41'20.9"W</t>
  </si>
  <si>
    <t>Sergio Montagud et al.</t>
  </si>
  <si>
    <t>FR-COR/2019/220</t>
  </si>
  <si>
    <t>FR</t>
  </si>
  <si>
    <t>Corsica</t>
  </si>
  <si>
    <t>Corse-du-Sud (2A)</t>
  </si>
  <si>
    <t>Serra di Scopamène</t>
  </si>
  <si>
    <t>Campu di Bonza</t>
  </si>
  <si>
    <t>S1-ML2</t>
  </si>
  <si>
    <t>9°7'22.4364"E</t>
  </si>
  <si>
    <t>MT</t>
  </si>
  <si>
    <t>Julien Touroult</t>
  </si>
  <si>
    <t>RC/PAL/3628</t>
  </si>
  <si>
    <t>FR-COR/2019/058</t>
  </si>
  <si>
    <t>Castellu d'Ornucciu</t>
  </si>
  <si>
    <t>CO</t>
  </si>
  <si>
    <t>09°09'29.2"E</t>
  </si>
  <si>
    <t>RC/FR-COR/025</t>
  </si>
  <si>
    <t>RC/FR-COR/060</t>
  </si>
  <si>
    <t>FR-COR/2019/145</t>
  </si>
  <si>
    <t>CO-BYWT-01</t>
  </si>
  <si>
    <t>09°09'26.1"E</t>
  </si>
  <si>
    <t>WPT</t>
  </si>
  <si>
    <t>RC/FR-COR/154</t>
  </si>
  <si>
    <t>FR-COR/2019/146</t>
  </si>
  <si>
    <t>BPT</t>
  </si>
  <si>
    <t>FR-COR/2019/148</t>
  </si>
  <si>
    <t>CO-BYWT-02</t>
  </si>
  <si>
    <t>09°09'26.4"E</t>
  </si>
  <si>
    <t>FR-COR/2019/147</t>
  </si>
  <si>
    <t>YPT</t>
  </si>
  <si>
    <t>FR-COR/2019/149</t>
  </si>
  <si>
    <t>FR-COR/2019/151</t>
  </si>
  <si>
    <t>CO-BYWT-03</t>
  </si>
  <si>
    <t>09°09'27.6"E</t>
  </si>
  <si>
    <t>FR-COR/2019/156</t>
  </si>
  <si>
    <t>CO-BYWT-04</t>
  </si>
  <si>
    <t>09°09'24.2"E</t>
  </si>
  <si>
    <t>FR-COR/2019/085</t>
  </si>
  <si>
    <t>Serra di Scopamène et Sorbollano</t>
  </si>
  <si>
    <t>BO-BYWPT-02</t>
  </si>
  <si>
    <t>09°07'16.2"E</t>
  </si>
  <si>
    <t>RC/FR-COR/091</t>
  </si>
  <si>
    <t>FR-COR/2019/091</t>
  </si>
  <si>
    <t>BO-BYWPT-03</t>
  </si>
  <si>
    <t>09°07'15.1"E</t>
  </si>
  <si>
    <t>FR-COR/2019/074</t>
  </si>
  <si>
    <t>BO-BYWPT-04</t>
  </si>
  <si>
    <t>09°07'26.9"E</t>
  </si>
  <si>
    <t>FR-COR/2019/212</t>
  </si>
  <si>
    <t>Sorbollano</t>
  </si>
  <si>
    <t>S2-ML2</t>
  </si>
  <si>
    <t>9°7'27.606"E</t>
  </si>
  <si>
    <t>FR-COR/2019/233</t>
  </si>
  <si>
    <t>9°7'30.1692"E</t>
  </si>
  <si>
    <t>FR-COR/2019/211</t>
  </si>
  <si>
    <t>9°7'29.7366"E</t>
  </si>
  <si>
    <t>FR-COR/2019/219</t>
  </si>
  <si>
    <t>FR-COR/2019/213</t>
  </si>
  <si>
    <t>FR-COR/2019/209</t>
  </si>
  <si>
    <t>FR-COR/2019/051</t>
  </si>
  <si>
    <t>Zicavo</t>
  </si>
  <si>
    <t>Ponte di Valpine</t>
  </si>
  <si>
    <t>VA</t>
  </si>
  <si>
    <t>09°08'00.2"E</t>
  </si>
  <si>
    <t>FR-COR/2019/024</t>
  </si>
  <si>
    <t>Zonza</t>
  </si>
  <si>
    <t>Samulaghia</t>
  </si>
  <si>
    <t>SA</t>
  </si>
  <si>
    <t>09°13.375'E</t>
  </si>
  <si>
    <t>FR-COR/2019/030</t>
  </si>
  <si>
    <t>09°13.544'E</t>
  </si>
  <si>
    <t>FR-COR/2019/031</t>
  </si>
  <si>
    <t>09°13.409'E</t>
  </si>
  <si>
    <t>FR-COR/2019/032</t>
  </si>
  <si>
    <t>09°13.378'E</t>
  </si>
  <si>
    <t>FR-COR/2019/033</t>
  </si>
  <si>
    <t>09°13.347'E</t>
  </si>
  <si>
    <t>PT</t>
  </si>
  <si>
    <t>RC/FR-COR/109</t>
  </si>
  <si>
    <t>FR-COR/2019/034</t>
  </si>
  <si>
    <t>09°13.380'E</t>
  </si>
  <si>
    <t>FR-COR/2019/096</t>
  </si>
  <si>
    <t>SA-BYWPT-01</t>
  </si>
  <si>
    <t>09°13.658'E</t>
  </si>
  <si>
    <t>FR-COR/2019/097</t>
  </si>
  <si>
    <t>FR-COR/2019/098</t>
  </si>
  <si>
    <t>FR-COR/2019/118</t>
  </si>
  <si>
    <t>SA-BYWPT-02</t>
  </si>
  <si>
    <t>09°13.649'E</t>
  </si>
  <si>
    <t>Anja De Braekeleer</t>
  </si>
  <si>
    <t>FR-COR/2019/100</t>
  </si>
  <si>
    <t>FR-COR/2019/101</t>
  </si>
  <si>
    <t>FR-COR/2019/110</t>
  </si>
  <si>
    <t>SA-BYWPT-03</t>
  </si>
  <si>
    <t>9°13'37.2"E</t>
  </si>
  <si>
    <t>FR-COR/2019/108</t>
  </si>
  <si>
    <t>FR-COR/2019/109</t>
  </si>
  <si>
    <t>FR-COR/2019/115</t>
  </si>
  <si>
    <t>SA-BYWPT-04</t>
  </si>
  <si>
    <t>09°13'32.9"E</t>
  </si>
  <si>
    <t>FR-COR/2019/114</t>
  </si>
  <si>
    <t>9°13'32.9"E</t>
  </si>
  <si>
    <t>IT/2006/009/GN</t>
  </si>
  <si>
    <t>IT</t>
  </si>
  <si>
    <t>Sardinia</t>
  </si>
  <si>
    <t>Carbonia-Iglesias</t>
  </si>
  <si>
    <t>Domusnovas</t>
  </si>
  <si>
    <t>Valle Oridda</t>
  </si>
  <si>
    <t>S3 [SAR06-S3-4°]</t>
  </si>
  <si>
    <t>8.616372°E</t>
  </si>
  <si>
    <t>G. Chessa</t>
  </si>
  <si>
    <t>26</t>
  </si>
  <si>
    <t>IT/2006/024/GN</t>
  </si>
  <si>
    <t>Iglesias</t>
  </si>
  <si>
    <t>Marganai, Tintillonis</t>
  </si>
  <si>
    <t>Plot Conecofor SAR1</t>
  </si>
  <si>
    <t>8.570726°E</t>
  </si>
  <si>
    <t>D. Birtele, P. Cerretti, E. Gatti, F. Mason &amp; D. Whitmore</t>
  </si>
  <si>
    <t>81</t>
  </si>
  <si>
    <t>IT/2006/001/GN</t>
  </si>
  <si>
    <t>nr colonia Beneck</t>
  </si>
  <si>
    <t>S1 [SAR06-S1-3']</t>
  </si>
  <si>
    <t>8.563532°E</t>
  </si>
  <si>
    <t>14</t>
  </si>
  <si>
    <t>IT/2006/015/GN</t>
  </si>
  <si>
    <t>41</t>
  </si>
  <si>
    <t>halter dark yellow, tiII with only one ad bristle; ac biseriate, microscopic</t>
  </si>
  <si>
    <t>IT/2006/029/GN</t>
  </si>
  <si>
    <t>S1 [SAR06-S1-6°]</t>
  </si>
  <si>
    <t>103</t>
  </si>
  <si>
    <t>PT/2015/183/RA</t>
  </si>
  <si>
    <t>Alto Alentejo</t>
  </si>
  <si>
    <t>PT-12</t>
  </si>
  <si>
    <t>Portalegre</t>
  </si>
  <si>
    <t>Marvão</t>
  </si>
  <si>
    <t>Santa Maria de Marvão</t>
  </si>
  <si>
    <t>7°21'51.4"W</t>
  </si>
  <si>
    <t>RC/PAL/1813</t>
  </si>
  <si>
    <t>PT/2013/082/RA</t>
  </si>
  <si>
    <t>Beira Alta</t>
  </si>
  <si>
    <t>PT-09</t>
  </si>
  <si>
    <t>Guarda</t>
  </si>
  <si>
    <t>Gouveia</t>
  </si>
  <si>
    <t>Aldeias</t>
  </si>
  <si>
    <t>7°35'15.7"W</t>
  </si>
  <si>
    <t>RC/PAL/2961</t>
  </si>
  <si>
    <t>checked</t>
  </si>
  <si>
    <t>PT/2014/204/AG</t>
  </si>
  <si>
    <t>Seia</t>
  </si>
  <si>
    <t>Loriga</t>
  </si>
  <si>
    <t>Praia Fluvial de Loriga</t>
  </si>
  <si>
    <t>7°40'36.71"W</t>
  </si>
  <si>
    <t>Ana Rita Gonçalves</t>
  </si>
  <si>
    <t>RC/PAL/3090</t>
  </si>
  <si>
    <t>checked: 4 dc, bluish mesonotum</t>
  </si>
  <si>
    <t>PT/2013/227/RA</t>
  </si>
  <si>
    <t>Sabugueiro</t>
  </si>
  <si>
    <t>Lagoa Comprida</t>
  </si>
  <si>
    <t>7°38'32.5"W</t>
  </si>
  <si>
    <t>RC/PAL/2983</t>
  </si>
  <si>
    <t>PT/2013/110/AG</t>
  </si>
  <si>
    <t>Beira Litoral</t>
  </si>
  <si>
    <t>PT-06</t>
  </si>
  <si>
    <t>Coimbra</t>
  </si>
  <si>
    <t>Sé Nova</t>
  </si>
  <si>
    <t>Jardin Botânica de Coimbra</t>
  </si>
  <si>
    <t>8°25'15.0"W</t>
  </si>
  <si>
    <t>checked: mesonotum bluish metallic, 4 dc</t>
  </si>
  <si>
    <t>PT/2015/381/RA</t>
  </si>
  <si>
    <t>Pampilhosa da Serra</t>
  </si>
  <si>
    <t>Vidual</t>
  </si>
  <si>
    <t>7°51'33.6"W</t>
  </si>
  <si>
    <t>RC/PAL/3063</t>
  </si>
  <si>
    <t>PT/2010/001/RA</t>
  </si>
  <si>
    <t>Douro Litoral</t>
  </si>
  <si>
    <t>PT-13</t>
  </si>
  <si>
    <t>Porto</t>
  </si>
  <si>
    <t>Valongo</t>
  </si>
  <si>
    <t>Serras de Valongo</t>
  </si>
  <si>
    <t>8°29'05.6"W</t>
  </si>
  <si>
    <t>PT/2010/006/RA</t>
  </si>
  <si>
    <t>PT/2012/135/RA</t>
  </si>
  <si>
    <t>PT/2013/034/RA</t>
  </si>
  <si>
    <t>RC/PAL/3009</t>
  </si>
  <si>
    <t>PT/2009/135/RA</t>
  </si>
  <si>
    <t>Vila Nova de Gaia</t>
  </si>
  <si>
    <t>Oliveira do Douro</t>
  </si>
  <si>
    <t>Parque Municipal da Lavandeira</t>
  </si>
  <si>
    <t>8°35'40.9"W</t>
  </si>
  <si>
    <t>PT/2012/026/RA</t>
  </si>
  <si>
    <t>Estremadura</t>
  </si>
  <si>
    <t>PT-10</t>
  </si>
  <si>
    <t>Leiria</t>
  </si>
  <si>
    <t>Caldas da Rainha</t>
  </si>
  <si>
    <t>Tornada</t>
  </si>
  <si>
    <t>Paul de Tornada</t>
  </si>
  <si>
    <t>9°08'04.0"W</t>
  </si>
  <si>
    <t>RC/PAL/2989</t>
  </si>
  <si>
    <t>PT/2012/106/RA</t>
  </si>
  <si>
    <t>RC/PAL/2992</t>
  </si>
  <si>
    <t>PT/2012/037/RA</t>
  </si>
  <si>
    <t>RC/PAL/2990</t>
  </si>
  <si>
    <t>PT/2013/237/RA</t>
  </si>
  <si>
    <t>PT-11</t>
  </si>
  <si>
    <t>Lisboa</t>
  </si>
  <si>
    <t>Torres Vedras</t>
  </si>
  <si>
    <t>A dos Cunhados</t>
  </si>
  <si>
    <t>Casal da Serra</t>
  </si>
  <si>
    <t>9°20'31.53"W</t>
  </si>
  <si>
    <t>RC/PAL/2998</t>
  </si>
  <si>
    <t>PT/2013/185/RA</t>
  </si>
  <si>
    <t>RC/PAL/3666</t>
  </si>
  <si>
    <t>RC/PAL/2999</t>
  </si>
  <si>
    <t>PT/2013/292/RA</t>
  </si>
  <si>
    <t>PT/2009/137/RA</t>
  </si>
  <si>
    <t>Minho</t>
  </si>
  <si>
    <t>PT-03</t>
  </si>
  <si>
    <t>Braga</t>
  </si>
  <si>
    <t>Barcelos</t>
  </si>
  <si>
    <t>Gilmonde</t>
  </si>
  <si>
    <t>8°38'57.0"W</t>
  </si>
  <si>
    <t>RC/PAL/1922</t>
  </si>
  <si>
    <t>checked: 1m used for genital examination (not preserved)</t>
  </si>
  <si>
    <t>PT/2012/117/RA</t>
  </si>
  <si>
    <t>RC/PAL/2855</t>
  </si>
  <si>
    <t>PT/2012/015/RA</t>
  </si>
  <si>
    <t>RC/PAL/2853</t>
  </si>
  <si>
    <t>PT/2012/325/RA</t>
  </si>
  <si>
    <t>8°38'56.1"W</t>
  </si>
  <si>
    <t>RC/PAL/2860</t>
  </si>
  <si>
    <t>PT/2013/007/RA</t>
  </si>
  <si>
    <t>RC/PAL/2851</t>
  </si>
  <si>
    <t>PT/2012/069/RA</t>
  </si>
  <si>
    <t>Esposende</t>
  </si>
  <si>
    <t>Apúlia</t>
  </si>
  <si>
    <t>Parque Natural do Litoral Norte</t>
  </si>
  <si>
    <t>8°46'27.2"W</t>
  </si>
  <si>
    <t>RC/PAL/2864</t>
  </si>
  <si>
    <t>PT/2015/323/RA</t>
  </si>
  <si>
    <t>RC/PAL/2868</t>
  </si>
  <si>
    <t>PT/2013/020/RA</t>
  </si>
  <si>
    <t>Rio Tinto</t>
  </si>
  <si>
    <t>Marachão</t>
  </si>
  <si>
    <t>8°43'10.6"W</t>
  </si>
  <si>
    <t>RC/PAL/2869</t>
  </si>
  <si>
    <t>PT/2011/235/RA</t>
  </si>
  <si>
    <t>Terras de Bouro</t>
  </si>
  <si>
    <t>Vilar da Veiga</t>
  </si>
  <si>
    <t>Gerês</t>
  </si>
  <si>
    <t>8°09'19.8"W</t>
  </si>
  <si>
    <t>RC/PAL/1950</t>
  </si>
  <si>
    <t>PT/2011/004/RA</t>
  </si>
  <si>
    <t>Ribatejo</t>
  </si>
  <si>
    <t>PT-14</t>
  </si>
  <si>
    <t>Santarém</t>
  </si>
  <si>
    <t>Constância</t>
  </si>
  <si>
    <t>Santa Margarida da Coutada</t>
  </si>
  <si>
    <t>8°16'50.7"W</t>
  </si>
  <si>
    <t>PT/2013/154/AG</t>
  </si>
  <si>
    <t>Torres Novas</t>
  </si>
  <si>
    <t>Olaia</t>
  </si>
  <si>
    <t>Lamarosa</t>
  </si>
  <si>
    <t>8°28'10.13"W</t>
  </si>
  <si>
    <t>PT/2015/350/RA</t>
  </si>
  <si>
    <t>Trás-os-Montes e Alto Douro</t>
  </si>
  <si>
    <t>PT-04</t>
  </si>
  <si>
    <t>Bragança</t>
  </si>
  <si>
    <t>Castrelos</t>
  </si>
  <si>
    <t>6°53'24.2"W</t>
  </si>
  <si>
    <t>RC/PAL/2887</t>
  </si>
  <si>
    <t>PT/2015/264/RA</t>
  </si>
  <si>
    <t>Gondesende</t>
  </si>
  <si>
    <t>6°52'45.9"W</t>
  </si>
  <si>
    <t>RC/PAL/2909</t>
  </si>
  <si>
    <t>PT/2014/225/RA</t>
  </si>
  <si>
    <t>Vinhais</t>
  </si>
  <si>
    <t>6°59'21.6"W</t>
  </si>
  <si>
    <t>RC/PAL/2911</t>
  </si>
  <si>
    <t>PT/2015/404/AG</t>
  </si>
  <si>
    <t>Miranda do Douro</t>
  </si>
  <si>
    <t>Silva</t>
  </si>
  <si>
    <t>Santo Adrião</t>
  </si>
  <si>
    <t>6°28'27.24"W</t>
  </si>
  <si>
    <t>PT/2015/344/RA</t>
  </si>
  <si>
    <t>Vila Chã de Braciosa</t>
  </si>
  <si>
    <t>6°18'29.4"W</t>
  </si>
  <si>
    <t>RC/PAL/2915</t>
  </si>
  <si>
    <t>PT/2016/366/RA</t>
  </si>
  <si>
    <t>RC/PAL/3042</t>
  </si>
  <si>
    <t>PT/2015/321/RA</t>
  </si>
  <si>
    <t>Mogadouro</t>
  </si>
  <si>
    <t>Meirinhos</t>
  </si>
  <si>
    <t>6°52'21.5"W</t>
  </si>
  <si>
    <t>RC/PAL/2919</t>
  </si>
  <si>
    <t>PT/2016/362/RA</t>
  </si>
  <si>
    <t>Torre de Moncorvo</t>
  </si>
  <si>
    <t>Adeganha</t>
  </si>
  <si>
    <t>Estevais</t>
  </si>
  <si>
    <t>7°04'22.0"W</t>
  </si>
  <si>
    <t>RC/PAL/3046</t>
  </si>
  <si>
    <t>PT/2015/310/RA</t>
  </si>
  <si>
    <t>Vimioso</t>
  </si>
  <si>
    <t>Algoso</t>
  </si>
  <si>
    <t>6°35'35.2"W</t>
  </si>
  <si>
    <t>checked: 4 strong dc, mesonotum bluish, vein M straight</t>
  </si>
  <si>
    <t>PT/2015/379/RA&amp;AG</t>
  </si>
  <si>
    <t>Vale de Algoso</t>
  </si>
  <si>
    <t>6°32'19.9"W</t>
  </si>
  <si>
    <t>RC/PAL/3060</t>
  </si>
  <si>
    <t>PT/2015/348/RA&amp;AG</t>
  </si>
  <si>
    <t>RC/PAL/2925</t>
  </si>
  <si>
    <t>PT/2013/008/RA</t>
  </si>
  <si>
    <t>PT-17</t>
  </si>
  <si>
    <t>Vila Real</t>
  </si>
  <si>
    <t>Mondim de Basto</t>
  </si>
  <si>
    <t>Ermelo</t>
  </si>
  <si>
    <t>Varzigueto</t>
  </si>
  <si>
    <t>7°51'14.4"W</t>
  </si>
  <si>
    <t>PT/2012/051/RA</t>
  </si>
  <si>
    <t>Montalegre</t>
  </si>
  <si>
    <t>Pitões das Júnias</t>
  </si>
  <si>
    <t>7°57'01.3"W</t>
  </si>
  <si>
    <t>RC/PAL/3037</t>
  </si>
  <si>
    <t>FR-COR/2019/230</t>
  </si>
  <si>
    <t>9°7'26.5728"E</t>
  </si>
  <si>
    <t>MEDECORS</t>
  </si>
  <si>
    <t>Medetera corsicana Pollet, 2022</t>
  </si>
  <si>
    <t>RC/PAL/3630</t>
  </si>
  <si>
    <t>tiI-III brownish yellow; hypandrium with MEDECAER shape</t>
  </si>
  <si>
    <t>tiI-III brownish yellow; hypandrium with MEDECAER shape; hypopygium detached for study</t>
  </si>
  <si>
    <t>FR-COR/2019/235</t>
  </si>
  <si>
    <t>MEDEGIPY</t>
  </si>
  <si>
    <t>Medetera gibbosipyga Pollet, 2022</t>
  </si>
  <si>
    <t>RC/PAL/3425</t>
  </si>
  <si>
    <t>4dc; tiII without ad/pd bristle, hypandrium slender, with basal curv and apical enlargement; eye slightly bi-coloured</t>
  </si>
  <si>
    <t>ES/2014/187/AG</t>
  </si>
  <si>
    <t>Alta Ribagorça</t>
  </si>
  <si>
    <t>El Pont de Suert</t>
  </si>
  <si>
    <t>0°50'04.4"E</t>
  </si>
  <si>
    <t>ABIGA/16038</t>
  </si>
  <si>
    <t>Baltar</t>
  </si>
  <si>
    <t>7º46'49.4"W</t>
  </si>
  <si>
    <t>MEDELUSI</t>
  </si>
  <si>
    <t>Medetera lusitana Pollet, 2022</t>
  </si>
  <si>
    <t>RC/PAL/3304</t>
  </si>
  <si>
    <t>PT/2014/176/AG</t>
  </si>
  <si>
    <t>RC/PAL/2981</t>
  </si>
  <si>
    <t>PT/2013/208/AG</t>
  </si>
  <si>
    <t>Trinta</t>
  </si>
  <si>
    <t>7°22'21.7"W</t>
  </si>
  <si>
    <t>RC/PAL/2967</t>
  </si>
  <si>
    <t>PT/2013/186/RA</t>
  </si>
  <si>
    <t>Manteigas</t>
  </si>
  <si>
    <t>São Pedro (Manteigas)</t>
  </si>
  <si>
    <t>7°33'04.4"W</t>
  </si>
  <si>
    <t>RC/PAL/2972</t>
  </si>
  <si>
    <t>checked: sample + two Rhaphium sp. (females)</t>
  </si>
  <si>
    <t>PT/2013/272/AG</t>
  </si>
  <si>
    <t>RC/PAL/2973</t>
  </si>
  <si>
    <t>PT/2013/282/AG</t>
  </si>
  <si>
    <t>Covão d'Ametade</t>
  </si>
  <si>
    <t>7°35'17.4"W</t>
  </si>
  <si>
    <t>RC/PAL/2974</t>
  </si>
  <si>
    <t>PT/2013/165/AG</t>
  </si>
  <si>
    <t>Nave de Santo António</t>
  </si>
  <si>
    <t>7°34'37.4"W</t>
  </si>
  <si>
    <t>RC/PAL/2971</t>
  </si>
  <si>
    <t>PT/2015/330/RA</t>
  </si>
  <si>
    <t>Lapa dos Dinheiros</t>
  </si>
  <si>
    <t>7°39'07.5"W</t>
  </si>
  <si>
    <t>RC/PAL/3091</t>
  </si>
  <si>
    <t>checked: 5 dc, mesonotum not bluish</t>
  </si>
  <si>
    <t>PT/2014/200/AG</t>
  </si>
  <si>
    <t>Porto do Boi</t>
  </si>
  <si>
    <t>7°40'33.16"W</t>
  </si>
  <si>
    <t>PT/2014/376/AG</t>
  </si>
  <si>
    <t>Beira Baixa</t>
  </si>
  <si>
    <t>PT-05</t>
  </si>
  <si>
    <t>Castelo Branco</t>
  </si>
  <si>
    <t>Covilhã</t>
  </si>
  <si>
    <t>Cortes do Meio</t>
  </si>
  <si>
    <t>Alto da Pedrice</t>
  </si>
  <si>
    <t>7°34'35.14"W</t>
  </si>
  <si>
    <t>PT/2009/128/RA</t>
  </si>
  <si>
    <t>Avintes</t>
  </si>
  <si>
    <t>Parque Biológico de Gaia (PBG)</t>
  </si>
  <si>
    <t>8°33'35.0"W</t>
  </si>
  <si>
    <t>RC/PAL/3665</t>
  </si>
  <si>
    <t>RC/PAL/1920</t>
  </si>
  <si>
    <t>1m used for genital examination (not preserved)</t>
  </si>
  <si>
    <t>PT/2013/100/RA</t>
  </si>
  <si>
    <t>RC/PAL/3018</t>
  </si>
  <si>
    <t>PT/2016/392/RA</t>
  </si>
  <si>
    <t>PT-16</t>
  </si>
  <si>
    <t>Viana do Castelo</t>
  </si>
  <si>
    <t>Melgaço</t>
  </si>
  <si>
    <t>Castro Laboreiro</t>
  </si>
  <si>
    <t>Cainheiras</t>
  </si>
  <si>
    <t>8°08'18.8"W</t>
  </si>
  <si>
    <t>RS/PT/096</t>
  </si>
  <si>
    <t>checked: no bluish mesonotum, but only 4 strong dc</t>
  </si>
  <si>
    <t>PT/2015/313/RA</t>
  </si>
  <si>
    <t>Carrazedo</t>
  </si>
  <si>
    <t>6°54'06.2"W</t>
  </si>
  <si>
    <t>RC/PAL/2885</t>
  </si>
  <si>
    <t>checked: 5 dc, mesonotum greenish with bronze spot in centre on dorsum</t>
  </si>
  <si>
    <t>PT/2014/249/RA</t>
  </si>
  <si>
    <t>França</t>
  </si>
  <si>
    <t>Aldeia de Montesinho</t>
  </si>
  <si>
    <t>6°45'51.0"W</t>
  </si>
  <si>
    <t>RC/PAL/2907</t>
  </si>
  <si>
    <t>PT/2013/036/RA</t>
  </si>
  <si>
    <t>Bilhó</t>
  </si>
  <si>
    <t>7°50'53.3"W</t>
  </si>
  <si>
    <t>IT/2006/031/GN</t>
  </si>
  <si>
    <t>Marganai</t>
  </si>
  <si>
    <t>8.574515°E</t>
  </si>
  <si>
    <t>MEDEPARV</t>
  </si>
  <si>
    <t>Medetera parva Pollet, 2022</t>
  </si>
  <si>
    <t>RC/PAL/3504</t>
  </si>
  <si>
    <t>bi-coloured eyed species</t>
  </si>
  <si>
    <t>IT/2006/008/GN</t>
  </si>
  <si>
    <t>ES/2014/250/RA</t>
  </si>
  <si>
    <t>Soriguera</t>
  </si>
  <si>
    <t>1°12'07.5"E</t>
  </si>
  <si>
    <t>MEDEREPY</t>
  </si>
  <si>
    <t>Medetera rectipyga Pollet, 2022</t>
  </si>
  <si>
    <t>RC/PAL/3446</t>
  </si>
  <si>
    <t>3dc; tiII without ad/pd bristle; bi-coloured eyes; ac missing; surstylus straight</t>
  </si>
  <si>
    <t>ES/2014/167/RA&amp;AG</t>
  </si>
  <si>
    <t>41°30'40.7"</t>
  </si>
  <si>
    <t>42°12'59.6"</t>
  </si>
  <si>
    <t>42°18'42.2"</t>
  </si>
  <si>
    <t>42°27'03.6"</t>
  </si>
  <si>
    <t>42°12'12.2"</t>
  </si>
  <si>
    <t>38°16'54.4"</t>
  </si>
  <si>
    <t>39°34'24.0"</t>
  </si>
  <si>
    <t>42°28'56.2"</t>
  </si>
  <si>
    <t>38°34'45.1"</t>
  </si>
  <si>
    <t>38°58'42.6"</t>
  </si>
  <si>
    <t>41°46'20.3226"</t>
  </si>
  <si>
    <t>41°49'59.9"</t>
  </si>
  <si>
    <t>41°49'58.6"</t>
  </si>
  <si>
    <t>41°49'59.6"</t>
  </si>
  <si>
    <t>41°50'00.5"</t>
  </si>
  <si>
    <t>41°50'02.9"</t>
  </si>
  <si>
    <t>41°46'21.4"</t>
  </si>
  <si>
    <t>41°46'21.9"</t>
  </si>
  <si>
    <t>41°46'28.3"</t>
  </si>
  <si>
    <t>41°46'15.8046"</t>
  </si>
  <si>
    <t>41°46'11.823"</t>
  </si>
  <si>
    <t>41°46'11.5206"</t>
  </si>
  <si>
    <t>41°52'33.0"</t>
  </si>
  <si>
    <t>41°46.127'</t>
  </si>
  <si>
    <t>41°45.667'</t>
  </si>
  <si>
    <t>41°46.022'</t>
  </si>
  <si>
    <t>41°46.133'</t>
  </si>
  <si>
    <t>41°46.119'</t>
  </si>
  <si>
    <t>41°46.129'</t>
  </si>
  <si>
    <t>41°45.697'</t>
  </si>
  <si>
    <t>41°45.703'</t>
  </si>
  <si>
    <t>41°45'39.6"</t>
  </si>
  <si>
    <t>41°45'40.1"</t>
  </si>
  <si>
    <t>39.408932°</t>
  </si>
  <si>
    <t>39.345887°</t>
  </si>
  <si>
    <t>39.347590°</t>
  </si>
  <si>
    <t>39°23'49.2"</t>
  </si>
  <si>
    <t>40°28'05.4"</t>
  </si>
  <si>
    <t>40°19'41.26"</t>
  </si>
  <si>
    <t>40°21'54.3"</t>
  </si>
  <si>
    <t>40°12'20.0"</t>
  </si>
  <si>
    <t>40°05'27.5"</t>
  </si>
  <si>
    <t>41°09'33.4"</t>
  </si>
  <si>
    <t xml:space="preserve">41°07'18.4" </t>
  </si>
  <si>
    <t>39°26'52.8"</t>
  </si>
  <si>
    <t>39°09'56.20"</t>
  </si>
  <si>
    <t>41°30'43.0"</t>
  </si>
  <si>
    <t>41°30'42.0"</t>
  </si>
  <si>
    <t>41°28'16.4"</t>
  </si>
  <si>
    <t>41°30'16.9"</t>
  </si>
  <si>
    <t>41°44'16.7"</t>
  </si>
  <si>
    <t>39°26'23.3"</t>
  </si>
  <si>
    <t>39°31'46.66"</t>
  </si>
  <si>
    <t>41°50'22.1"</t>
  </si>
  <si>
    <t>41°50'47.1"</t>
  </si>
  <si>
    <t>41°51'01.3"</t>
  </si>
  <si>
    <t>41°31'48.2"</t>
  </si>
  <si>
    <t>41°25'29.8"</t>
  </si>
  <si>
    <t>41°17'13.4"</t>
  </si>
  <si>
    <t>41°13'58.8"</t>
  </si>
  <si>
    <t>41°27'17.6"</t>
  </si>
  <si>
    <t>41°29'52.4"</t>
  </si>
  <si>
    <t>41°22'44.0"</t>
  </si>
  <si>
    <t>41°49'48.7"</t>
  </si>
  <si>
    <t>41°46'14.898"</t>
  </si>
  <si>
    <t>42°21'22.4"</t>
  </si>
  <si>
    <t>41º54'2.5"</t>
  </si>
  <si>
    <t>40°30'31.1"</t>
  </si>
  <si>
    <t>40°22'10.4"</t>
  </si>
  <si>
    <t>40°19'42.2"</t>
  </si>
  <si>
    <t>40°19'07.0"</t>
  </si>
  <si>
    <t>40°21'50.1"</t>
  </si>
  <si>
    <t>40°22'17.69"</t>
  </si>
  <si>
    <t>40°18'38.83"</t>
  </si>
  <si>
    <t>41°05'57.9"</t>
  </si>
  <si>
    <t>42°01'32.8"</t>
  </si>
  <si>
    <t>41°45'51.7"</t>
  </si>
  <si>
    <t>41°56'33.0"</t>
  </si>
  <si>
    <t>41°23'48.7"</t>
  </si>
  <si>
    <t>39.354434°</t>
  </si>
  <si>
    <t>42°22'22.6"</t>
  </si>
  <si>
    <t>42°41'24.4"</t>
  </si>
  <si>
    <t>42°23'26.5"</t>
  </si>
  <si>
    <t>decimalLatitude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</si>
</sst>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AE151"/>
  <sheetViews>
    <sheetView tabSelected="1" topLeftCell="A28" workbookViewId="0">
      <selection activeCell="M85" sqref="M85"/>
    </sheetView>
  </sheetViews>
  <sheetFormatPr defaultRowHeight="14.4" x14ac:dyDescent="0.3"/>
  <cols>
    <col min="12" max="12" width="14.88671875" bestFit="1" customWidth="1"/>
    <col min="13" max="13" width="33.21875" customWidth="1"/>
    <col min="14" max="14" width="12.5546875" bestFit="1" customWidth="1"/>
    <col min="15" max="15" width="12.5546875" customWidth="1"/>
  </cols>
  <sheetData>
    <row r="1" spans="1:3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620</v>
      </c>
      <c r="N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</row>
    <row r="2" spans="1:31" x14ac:dyDescent="0.3">
      <c r="A2">
        <v>118358</v>
      </c>
      <c r="B2" t="s">
        <v>29</v>
      </c>
      <c r="C2" t="s">
        <v>30</v>
      </c>
      <c r="D2" t="s">
        <v>31</v>
      </c>
      <c r="E2" t="s">
        <v>32</v>
      </c>
      <c r="H2" t="s">
        <v>33</v>
      </c>
      <c r="I2" t="s">
        <v>34</v>
      </c>
      <c r="J2" t="s">
        <v>33</v>
      </c>
      <c r="K2" t="s">
        <v>33</v>
      </c>
      <c r="L2" t="s">
        <v>537</v>
      </c>
      <c r="M2" cm="1">
        <f t="array" ref="M2">Convert_Decimal(L2)</f>
        <v>41.613055555555555</v>
      </c>
      <c r="N2" t="s">
        <v>35</v>
      </c>
      <c r="P2">
        <v>340</v>
      </c>
      <c r="R2" s="1">
        <v>42137.916666666664</v>
      </c>
      <c r="S2" t="s">
        <v>36</v>
      </c>
      <c r="T2" t="s">
        <v>37</v>
      </c>
      <c r="U2" t="s">
        <v>38</v>
      </c>
      <c r="V2" t="s">
        <v>39</v>
      </c>
      <c r="W2">
        <v>10</v>
      </c>
      <c r="X2">
        <v>3</v>
      </c>
      <c r="Y2" t="b">
        <v>0</v>
      </c>
      <c r="Z2" t="s">
        <v>40</v>
      </c>
      <c r="AA2" t="s">
        <v>41</v>
      </c>
      <c r="AB2" s="1">
        <v>44054.916666666664</v>
      </c>
      <c r="AC2" t="s">
        <v>42</v>
      </c>
      <c r="AD2" t="s">
        <v>43</v>
      </c>
    </row>
    <row r="3" spans="1:31" x14ac:dyDescent="0.3">
      <c r="A3">
        <v>118312</v>
      </c>
      <c r="B3" t="s">
        <v>44</v>
      </c>
      <c r="C3" t="s">
        <v>30</v>
      </c>
      <c r="D3" t="s">
        <v>45</v>
      </c>
      <c r="E3" t="s">
        <v>46</v>
      </c>
      <c r="H3" t="s">
        <v>33</v>
      </c>
      <c r="I3" t="s">
        <v>47</v>
      </c>
      <c r="J3" t="s">
        <v>33</v>
      </c>
      <c r="K3" t="s">
        <v>33</v>
      </c>
      <c r="L3" t="s">
        <v>538</v>
      </c>
      <c r="M3" cm="1">
        <f t="array" ref="M3">Convert_Decimal(L3)</f>
        <v>42.365555555555552</v>
      </c>
      <c r="N3" t="s">
        <v>48</v>
      </c>
      <c r="P3">
        <v>780</v>
      </c>
      <c r="R3" s="1">
        <v>42134.916666666664</v>
      </c>
      <c r="S3" t="s">
        <v>49</v>
      </c>
      <c r="T3" t="s">
        <v>50</v>
      </c>
      <c r="U3" t="s">
        <v>38</v>
      </c>
      <c r="V3" t="s">
        <v>39</v>
      </c>
      <c r="W3">
        <v>2</v>
      </c>
      <c r="X3">
        <v>1</v>
      </c>
      <c r="Y3" t="b">
        <v>0</v>
      </c>
      <c r="Z3" t="s">
        <v>40</v>
      </c>
      <c r="AA3" t="s">
        <v>41</v>
      </c>
      <c r="AB3" s="1">
        <v>44054.916666666664</v>
      </c>
      <c r="AC3" t="s">
        <v>42</v>
      </c>
      <c r="AD3" t="s">
        <v>43</v>
      </c>
    </row>
    <row r="4" spans="1:31" x14ac:dyDescent="0.3">
      <c r="A4">
        <v>118222</v>
      </c>
      <c r="B4" t="s">
        <v>51</v>
      </c>
      <c r="C4" t="s">
        <v>30</v>
      </c>
      <c r="D4" t="s">
        <v>45</v>
      </c>
      <c r="E4" t="s">
        <v>46</v>
      </c>
      <c r="H4" t="s">
        <v>33</v>
      </c>
      <c r="I4" t="s">
        <v>52</v>
      </c>
      <c r="J4" t="s">
        <v>33</v>
      </c>
      <c r="K4" t="s">
        <v>33</v>
      </c>
      <c r="L4" t="s">
        <v>539</v>
      </c>
      <c r="M4" cm="1">
        <f t="array" ref="M4">Convert_Decimal(L4)</f>
        <v>42.417222222222222</v>
      </c>
      <c r="N4" t="s">
        <v>53</v>
      </c>
      <c r="P4">
        <v>1030</v>
      </c>
      <c r="R4" s="1">
        <v>41773.916666666664</v>
      </c>
      <c r="S4" t="s">
        <v>36</v>
      </c>
      <c r="T4" t="s">
        <v>37</v>
      </c>
      <c r="U4" t="s">
        <v>38</v>
      </c>
      <c r="V4" t="s">
        <v>39</v>
      </c>
      <c r="W4">
        <v>0</v>
      </c>
      <c r="X4">
        <v>1</v>
      </c>
      <c r="Y4" t="b">
        <v>0</v>
      </c>
      <c r="Z4" t="s">
        <v>40</v>
      </c>
      <c r="AA4" t="s">
        <v>41</v>
      </c>
      <c r="AB4" s="1">
        <v>44054.916666666664</v>
      </c>
      <c r="AC4" t="s">
        <v>42</v>
      </c>
      <c r="AD4" t="s">
        <v>43</v>
      </c>
      <c r="AE4" t="s">
        <v>54</v>
      </c>
    </row>
    <row r="5" spans="1:31" x14ac:dyDescent="0.3">
      <c r="A5">
        <v>118223</v>
      </c>
      <c r="B5" t="s">
        <v>55</v>
      </c>
      <c r="C5" t="s">
        <v>30</v>
      </c>
      <c r="D5" t="s">
        <v>56</v>
      </c>
      <c r="E5" t="s">
        <v>57</v>
      </c>
      <c r="H5" t="s">
        <v>33</v>
      </c>
      <c r="I5" t="s">
        <v>58</v>
      </c>
      <c r="J5" t="s">
        <v>59</v>
      </c>
      <c r="K5" t="s">
        <v>33</v>
      </c>
      <c r="L5" t="s">
        <v>540</v>
      </c>
      <c r="M5" cm="1">
        <f t="array" ref="M5">Convert_Decimal(L5)</f>
        <v>42.46</v>
      </c>
      <c r="N5" t="s">
        <v>60</v>
      </c>
      <c r="P5">
        <v>1410</v>
      </c>
      <c r="R5" s="1">
        <v>41854.916666666664</v>
      </c>
      <c r="S5" t="s">
        <v>36</v>
      </c>
      <c r="T5" t="s">
        <v>61</v>
      </c>
      <c r="U5" t="s">
        <v>38</v>
      </c>
      <c r="V5" t="s">
        <v>39</v>
      </c>
      <c r="W5">
        <v>1</v>
      </c>
      <c r="X5">
        <v>0</v>
      </c>
      <c r="Y5" t="b">
        <v>0</v>
      </c>
      <c r="Z5" t="s">
        <v>40</v>
      </c>
      <c r="AA5" t="s">
        <v>41</v>
      </c>
      <c r="AB5" s="1">
        <v>44054.916666666664</v>
      </c>
      <c r="AC5" t="s">
        <v>42</v>
      </c>
      <c r="AD5" t="s">
        <v>43</v>
      </c>
    </row>
    <row r="6" spans="1:31" x14ac:dyDescent="0.3">
      <c r="A6">
        <v>117945</v>
      </c>
      <c r="B6" t="s">
        <v>62</v>
      </c>
      <c r="C6" t="s">
        <v>30</v>
      </c>
      <c r="D6" t="s">
        <v>63</v>
      </c>
      <c r="E6" t="s">
        <v>64</v>
      </c>
      <c r="H6" t="s">
        <v>33</v>
      </c>
      <c r="I6" t="s">
        <v>65</v>
      </c>
      <c r="J6" t="s">
        <v>33</v>
      </c>
      <c r="K6" t="s">
        <v>33</v>
      </c>
      <c r="L6" t="s">
        <v>541</v>
      </c>
      <c r="M6" cm="1">
        <f t="array" ref="M6">Convert_Decimal(L6)</f>
        <v>42.233888888888892</v>
      </c>
      <c r="N6" t="s">
        <v>66</v>
      </c>
      <c r="P6">
        <v>550</v>
      </c>
      <c r="R6" s="1">
        <v>42137.916666666664</v>
      </c>
      <c r="S6" t="s">
        <v>49</v>
      </c>
      <c r="T6" t="s">
        <v>37</v>
      </c>
      <c r="U6" t="s">
        <v>38</v>
      </c>
      <c r="V6" t="s">
        <v>39</v>
      </c>
      <c r="W6">
        <v>0</v>
      </c>
      <c r="X6">
        <v>1</v>
      </c>
      <c r="Y6" t="b">
        <v>0</v>
      </c>
      <c r="Z6" t="s">
        <v>40</v>
      </c>
      <c r="AA6" t="s">
        <v>41</v>
      </c>
      <c r="AB6" s="1">
        <v>44054.916666666664</v>
      </c>
      <c r="AC6" t="s">
        <v>42</v>
      </c>
      <c r="AD6" t="s">
        <v>43</v>
      </c>
      <c r="AE6" t="s">
        <v>67</v>
      </c>
    </row>
    <row r="7" spans="1:31" x14ac:dyDescent="0.3">
      <c r="A7">
        <v>118282</v>
      </c>
      <c r="B7" t="s">
        <v>68</v>
      </c>
      <c r="C7" t="s">
        <v>30</v>
      </c>
      <c r="D7" t="s">
        <v>69</v>
      </c>
      <c r="E7" t="s">
        <v>70</v>
      </c>
      <c r="H7" t="s">
        <v>33</v>
      </c>
      <c r="I7" t="s">
        <v>71</v>
      </c>
      <c r="J7" t="s">
        <v>33</v>
      </c>
      <c r="K7" t="s">
        <v>33</v>
      </c>
      <c r="L7" t="s">
        <v>542</v>
      </c>
      <c r="M7" cm="1">
        <f t="array" ref="M7">Convert_Decimal(L7)</f>
        <v>38.417777777777779</v>
      </c>
      <c r="N7" t="s">
        <v>72</v>
      </c>
      <c r="P7">
        <v>325</v>
      </c>
      <c r="R7" s="1">
        <v>42095.916666666664</v>
      </c>
      <c r="S7" t="s">
        <v>36</v>
      </c>
      <c r="T7" t="s">
        <v>37</v>
      </c>
      <c r="U7" t="s">
        <v>38</v>
      </c>
      <c r="V7" t="s">
        <v>39</v>
      </c>
      <c r="W7">
        <v>1</v>
      </c>
      <c r="X7">
        <v>0</v>
      </c>
      <c r="Y7" t="b">
        <v>0</v>
      </c>
      <c r="Z7" t="s">
        <v>40</v>
      </c>
      <c r="AA7" t="s">
        <v>41</v>
      </c>
      <c r="AB7" s="1">
        <v>44054.916666666664</v>
      </c>
      <c r="AC7" t="s">
        <v>42</v>
      </c>
      <c r="AD7" t="s">
        <v>43</v>
      </c>
    </row>
    <row r="8" spans="1:31" x14ac:dyDescent="0.3">
      <c r="A8">
        <v>117946</v>
      </c>
      <c r="B8" t="s">
        <v>73</v>
      </c>
      <c r="C8" t="s">
        <v>30</v>
      </c>
      <c r="D8" t="s">
        <v>69</v>
      </c>
      <c r="E8" t="s">
        <v>74</v>
      </c>
      <c r="H8" t="s">
        <v>33</v>
      </c>
      <c r="I8" t="s">
        <v>75</v>
      </c>
      <c r="J8" t="s">
        <v>33</v>
      </c>
      <c r="K8" t="s">
        <v>33</v>
      </c>
      <c r="L8" t="s">
        <v>543</v>
      </c>
      <c r="M8" cm="1">
        <f t="array" ref="M8">Convert_Decimal(L8)</f>
        <v>39.633333333333333</v>
      </c>
      <c r="N8" t="s">
        <v>76</v>
      </c>
      <c r="P8">
        <v>790</v>
      </c>
      <c r="R8" s="1">
        <v>42474.916666666664</v>
      </c>
      <c r="S8" t="s">
        <v>36</v>
      </c>
      <c r="T8" t="s">
        <v>61</v>
      </c>
      <c r="U8" t="s">
        <v>38</v>
      </c>
      <c r="V8" t="s">
        <v>39</v>
      </c>
      <c r="W8">
        <v>1</v>
      </c>
      <c r="X8">
        <v>0</v>
      </c>
      <c r="Y8" t="b">
        <v>0</v>
      </c>
      <c r="Z8" t="s">
        <v>40</v>
      </c>
      <c r="AA8" t="s">
        <v>41</v>
      </c>
      <c r="AB8" s="1">
        <v>44054.916666666664</v>
      </c>
      <c r="AC8" t="s">
        <v>42</v>
      </c>
      <c r="AD8" t="s">
        <v>43</v>
      </c>
    </row>
    <row r="9" spans="1:31" x14ac:dyDescent="0.3">
      <c r="A9">
        <v>118225</v>
      </c>
      <c r="B9" t="s">
        <v>77</v>
      </c>
      <c r="C9" t="s">
        <v>30</v>
      </c>
      <c r="D9" t="s">
        <v>78</v>
      </c>
      <c r="E9" t="s">
        <v>79</v>
      </c>
      <c r="H9" t="s">
        <v>33</v>
      </c>
      <c r="I9" t="s">
        <v>80</v>
      </c>
      <c r="J9" t="s">
        <v>81</v>
      </c>
      <c r="K9" t="s">
        <v>33</v>
      </c>
      <c r="L9" t="s">
        <v>544</v>
      </c>
      <c r="M9" cm="1">
        <f t="array" ref="M9">Convert_Decimal(L9)</f>
        <v>42.622777777777777</v>
      </c>
      <c r="N9" t="s">
        <v>82</v>
      </c>
      <c r="P9">
        <v>470</v>
      </c>
      <c r="R9" s="1">
        <v>41769.916666666664</v>
      </c>
      <c r="S9" t="s">
        <v>36</v>
      </c>
      <c r="T9" t="s">
        <v>37</v>
      </c>
      <c r="U9" t="s">
        <v>38</v>
      </c>
      <c r="V9" t="s">
        <v>39</v>
      </c>
      <c r="W9">
        <v>0</v>
      </c>
      <c r="X9">
        <v>1</v>
      </c>
      <c r="Y9" t="b">
        <v>0</v>
      </c>
      <c r="Z9" t="s">
        <v>40</v>
      </c>
      <c r="AA9" t="s">
        <v>41</v>
      </c>
      <c r="AB9" s="1">
        <v>44054.916666666664</v>
      </c>
      <c r="AC9" t="s">
        <v>42</v>
      </c>
      <c r="AD9" t="s">
        <v>43</v>
      </c>
    </row>
    <row r="10" spans="1:31" x14ac:dyDescent="0.3">
      <c r="A10">
        <v>120530</v>
      </c>
      <c r="B10" t="s">
        <v>83</v>
      </c>
      <c r="C10" t="s">
        <v>30</v>
      </c>
      <c r="D10" t="s">
        <v>78</v>
      </c>
      <c r="E10" t="s">
        <v>79</v>
      </c>
      <c r="H10" t="s">
        <v>84</v>
      </c>
      <c r="I10" t="s">
        <v>85</v>
      </c>
      <c r="J10" t="s">
        <v>33</v>
      </c>
      <c r="L10" t="s">
        <v>618</v>
      </c>
      <c r="M10" cm="1">
        <f t="array" ref="M10">Convert_Decimal(L10)</f>
        <v>42.751111111111108</v>
      </c>
      <c r="N10" t="s">
        <v>86</v>
      </c>
      <c r="P10">
        <v>1250</v>
      </c>
      <c r="R10" s="1">
        <v>39977.916666666664</v>
      </c>
      <c r="S10" t="s">
        <v>36</v>
      </c>
      <c r="T10" t="s">
        <v>87</v>
      </c>
      <c r="U10" t="s">
        <v>38</v>
      </c>
      <c r="V10" t="s">
        <v>39</v>
      </c>
      <c r="W10">
        <v>1</v>
      </c>
      <c r="X10">
        <v>0</v>
      </c>
      <c r="Y10" t="b">
        <v>0</v>
      </c>
      <c r="Z10" t="s">
        <v>88</v>
      </c>
      <c r="AA10" t="s">
        <v>41</v>
      </c>
      <c r="AB10" s="1">
        <v>44096.916666666664</v>
      </c>
      <c r="AC10" t="s">
        <v>42</v>
      </c>
      <c r="AD10" t="s">
        <v>43</v>
      </c>
    </row>
    <row r="11" spans="1:31" x14ac:dyDescent="0.3">
      <c r="A11">
        <v>118212</v>
      </c>
      <c r="B11" t="s">
        <v>89</v>
      </c>
      <c r="C11" t="s">
        <v>30</v>
      </c>
      <c r="D11" t="s">
        <v>78</v>
      </c>
      <c r="E11" t="s">
        <v>79</v>
      </c>
      <c r="H11" t="s">
        <v>90</v>
      </c>
      <c r="I11" t="s">
        <v>91</v>
      </c>
      <c r="J11" t="s">
        <v>33</v>
      </c>
      <c r="L11" t="s">
        <v>619</v>
      </c>
      <c r="M11" cm="1">
        <f t="array" ref="M11">Convert_Decimal(L11)</f>
        <v>42.456944444444446</v>
      </c>
      <c r="N11" t="s">
        <v>92</v>
      </c>
      <c r="P11">
        <v>300</v>
      </c>
      <c r="R11" s="1">
        <v>39366.916666666664</v>
      </c>
      <c r="S11" t="s">
        <v>36</v>
      </c>
      <c r="T11" t="s">
        <v>87</v>
      </c>
      <c r="U11" t="s">
        <v>38</v>
      </c>
      <c r="V11" t="s">
        <v>39</v>
      </c>
      <c r="W11">
        <v>0</v>
      </c>
      <c r="X11">
        <v>1</v>
      </c>
      <c r="Y11" t="b">
        <v>0</v>
      </c>
      <c r="Z11" t="s">
        <v>88</v>
      </c>
      <c r="AA11" t="s">
        <v>41</v>
      </c>
      <c r="AB11" s="1">
        <v>44051.916666666664</v>
      </c>
      <c r="AC11" t="s">
        <v>42</v>
      </c>
      <c r="AD11" t="s">
        <v>43</v>
      </c>
    </row>
    <row r="12" spans="1:31" x14ac:dyDescent="0.3">
      <c r="A12">
        <v>120667</v>
      </c>
      <c r="B12" t="s">
        <v>93</v>
      </c>
      <c r="C12" t="s">
        <v>30</v>
      </c>
      <c r="D12" t="s">
        <v>94</v>
      </c>
      <c r="E12" t="s">
        <v>95</v>
      </c>
      <c r="H12" t="s">
        <v>96</v>
      </c>
      <c r="I12" t="s">
        <v>96</v>
      </c>
      <c r="J12" t="s">
        <v>33</v>
      </c>
      <c r="K12" t="s">
        <v>33</v>
      </c>
      <c r="L12" t="s">
        <v>545</v>
      </c>
      <c r="M12" cm="1">
        <f t="array" ref="M12">Convert_Decimal(L12)</f>
        <v>38.691944444444445</v>
      </c>
      <c r="N12" t="s">
        <v>97</v>
      </c>
      <c r="R12" s="1">
        <v>39541.916666666664</v>
      </c>
      <c r="S12" t="s">
        <v>98</v>
      </c>
      <c r="T12" t="s">
        <v>99</v>
      </c>
      <c r="U12" t="s">
        <v>38</v>
      </c>
      <c r="V12" t="s">
        <v>39</v>
      </c>
      <c r="W12">
        <v>1</v>
      </c>
      <c r="X12">
        <v>1</v>
      </c>
      <c r="Y12" t="b">
        <v>0</v>
      </c>
      <c r="Z12" t="s">
        <v>100</v>
      </c>
      <c r="AA12" t="s">
        <v>41</v>
      </c>
      <c r="AB12" s="1">
        <v>44192.958333333336</v>
      </c>
      <c r="AC12" t="s">
        <v>42</v>
      </c>
      <c r="AD12" t="s">
        <v>43</v>
      </c>
    </row>
    <row r="13" spans="1:31" x14ac:dyDescent="0.3">
      <c r="A13">
        <v>120666</v>
      </c>
      <c r="B13" t="s">
        <v>101</v>
      </c>
      <c r="C13" t="s">
        <v>30</v>
      </c>
      <c r="D13" t="s">
        <v>94</v>
      </c>
      <c r="E13" t="s">
        <v>95</v>
      </c>
      <c r="H13" t="s">
        <v>96</v>
      </c>
      <c r="I13" t="s">
        <v>96</v>
      </c>
      <c r="J13" t="s">
        <v>33</v>
      </c>
      <c r="K13" t="s">
        <v>33</v>
      </c>
      <c r="L13" t="s">
        <v>545</v>
      </c>
      <c r="M13" cm="1">
        <f t="array" ref="M13">Convert_Decimal(L13)</f>
        <v>38.691944444444445</v>
      </c>
      <c r="N13" t="s">
        <v>97</v>
      </c>
      <c r="R13" s="1">
        <v>39541.916666666664</v>
      </c>
      <c r="S13" t="s">
        <v>98</v>
      </c>
      <c r="T13" t="s">
        <v>99</v>
      </c>
      <c r="U13" t="s">
        <v>38</v>
      </c>
      <c r="V13" t="s">
        <v>39</v>
      </c>
      <c r="W13">
        <v>1</v>
      </c>
      <c r="X13">
        <v>2</v>
      </c>
      <c r="Y13" t="b">
        <v>0</v>
      </c>
      <c r="Z13" t="s">
        <v>100</v>
      </c>
      <c r="AA13" t="s">
        <v>41</v>
      </c>
      <c r="AB13" s="1">
        <v>44192.958333333336</v>
      </c>
      <c r="AC13" t="s">
        <v>42</v>
      </c>
      <c r="AD13" t="s">
        <v>43</v>
      </c>
    </row>
    <row r="14" spans="1:31" x14ac:dyDescent="0.3">
      <c r="A14">
        <v>120665</v>
      </c>
      <c r="B14" t="s">
        <v>102</v>
      </c>
      <c r="C14" t="s">
        <v>30</v>
      </c>
      <c r="D14" t="s">
        <v>94</v>
      </c>
      <c r="E14" t="s">
        <v>95</v>
      </c>
      <c r="H14" t="s">
        <v>96</v>
      </c>
      <c r="I14" t="s">
        <v>96</v>
      </c>
      <c r="J14" t="s">
        <v>33</v>
      </c>
      <c r="K14" t="s">
        <v>33</v>
      </c>
      <c r="L14" t="s">
        <v>545</v>
      </c>
      <c r="M14" cm="1">
        <f t="array" ref="M14">Convert_Decimal(L14)</f>
        <v>38.691944444444445</v>
      </c>
      <c r="N14" t="s">
        <v>97</v>
      </c>
      <c r="R14" s="1">
        <v>39541.916666666664</v>
      </c>
      <c r="S14" t="s">
        <v>98</v>
      </c>
      <c r="T14" t="s">
        <v>99</v>
      </c>
      <c r="U14" t="s">
        <v>38</v>
      </c>
      <c r="V14" t="s">
        <v>39</v>
      </c>
      <c r="W14">
        <v>1</v>
      </c>
      <c r="X14">
        <v>0</v>
      </c>
      <c r="Y14" t="b">
        <v>0</v>
      </c>
      <c r="Z14" t="s">
        <v>100</v>
      </c>
      <c r="AA14" t="s">
        <v>41</v>
      </c>
      <c r="AB14" s="1">
        <v>44192.958333333336</v>
      </c>
      <c r="AC14" t="s">
        <v>42</v>
      </c>
      <c r="AD14" t="s">
        <v>43</v>
      </c>
    </row>
    <row r="15" spans="1:31" x14ac:dyDescent="0.3">
      <c r="A15">
        <v>120683</v>
      </c>
      <c r="B15" t="s">
        <v>103</v>
      </c>
      <c r="C15" t="s">
        <v>30</v>
      </c>
      <c r="D15" t="s">
        <v>94</v>
      </c>
      <c r="E15" t="s">
        <v>94</v>
      </c>
      <c r="H15" t="s">
        <v>104</v>
      </c>
      <c r="I15" t="s">
        <v>105</v>
      </c>
      <c r="J15" t="s">
        <v>104</v>
      </c>
      <c r="K15" t="s">
        <v>33</v>
      </c>
      <c r="L15" t="s">
        <v>546</v>
      </c>
      <c r="M15" cm="1">
        <f t="array" ref="M15">Convert_Decimal(L15)</f>
        <v>39.085000000000001</v>
      </c>
      <c r="N15" t="s">
        <v>106</v>
      </c>
      <c r="R15" s="1">
        <v>38842.916666666664</v>
      </c>
      <c r="S15" t="s">
        <v>98</v>
      </c>
      <c r="T15" t="s">
        <v>107</v>
      </c>
      <c r="U15" t="s">
        <v>38</v>
      </c>
      <c r="V15" t="s">
        <v>39</v>
      </c>
      <c r="W15">
        <v>1</v>
      </c>
      <c r="X15">
        <v>0</v>
      </c>
      <c r="Y15" t="b">
        <v>0</v>
      </c>
      <c r="Z15" t="s">
        <v>100</v>
      </c>
      <c r="AA15" t="s">
        <v>41</v>
      </c>
      <c r="AB15" s="1">
        <v>44192.958333333336</v>
      </c>
      <c r="AC15" t="s">
        <v>42</v>
      </c>
      <c r="AD15" t="s">
        <v>43</v>
      </c>
    </row>
    <row r="16" spans="1:31" x14ac:dyDescent="0.3">
      <c r="A16">
        <v>120838</v>
      </c>
      <c r="B16" t="s">
        <v>108</v>
      </c>
      <c r="C16" t="s">
        <v>109</v>
      </c>
      <c r="D16" t="s">
        <v>110</v>
      </c>
      <c r="E16" t="s">
        <v>111</v>
      </c>
      <c r="I16" t="s">
        <v>112</v>
      </c>
      <c r="J16" t="s">
        <v>113</v>
      </c>
      <c r="K16" t="s">
        <v>114</v>
      </c>
      <c r="L16" t="s">
        <v>547</v>
      </c>
      <c r="M16" cm="1">
        <f t="array" ref="M16">Convert_Decimal(L16)</f>
        <v>98.218333333333334</v>
      </c>
      <c r="N16" t="s">
        <v>115</v>
      </c>
      <c r="P16">
        <v>980</v>
      </c>
      <c r="Q16" s="1">
        <v>43629.916666666664</v>
      </c>
      <c r="R16" s="1">
        <v>43642.916666666664</v>
      </c>
      <c r="S16" t="s">
        <v>116</v>
      </c>
      <c r="T16" t="s">
        <v>117</v>
      </c>
      <c r="U16" t="s">
        <v>38</v>
      </c>
      <c r="V16" t="s">
        <v>39</v>
      </c>
      <c r="W16">
        <v>1</v>
      </c>
      <c r="X16">
        <v>1</v>
      </c>
      <c r="Y16" t="b">
        <v>0</v>
      </c>
      <c r="Z16" t="s">
        <v>118</v>
      </c>
      <c r="AA16" t="s">
        <v>41</v>
      </c>
      <c r="AB16" s="1">
        <v>44171.958333333336</v>
      </c>
      <c r="AC16" t="s">
        <v>42</v>
      </c>
      <c r="AD16" t="s">
        <v>43</v>
      </c>
    </row>
    <row r="17" spans="1:30" x14ac:dyDescent="0.3">
      <c r="A17">
        <v>99659</v>
      </c>
      <c r="B17" t="s">
        <v>119</v>
      </c>
      <c r="C17" t="s">
        <v>109</v>
      </c>
      <c r="D17" t="s">
        <v>110</v>
      </c>
      <c r="E17" t="s">
        <v>111</v>
      </c>
      <c r="I17" t="s">
        <v>112</v>
      </c>
      <c r="J17" t="s">
        <v>120</v>
      </c>
      <c r="K17" t="s">
        <v>121</v>
      </c>
      <c r="L17" t="s">
        <v>548</v>
      </c>
      <c r="M17" cm="1">
        <f t="array" ref="M17">Convert_Decimal(L17)</f>
        <v>41.983055555555552</v>
      </c>
      <c r="N17" t="s">
        <v>122</v>
      </c>
      <c r="P17">
        <v>1571</v>
      </c>
      <c r="Q17" s="1">
        <v>43641.916666666664</v>
      </c>
      <c r="R17" s="1">
        <v>43641.916666666664</v>
      </c>
      <c r="S17" t="s">
        <v>49</v>
      </c>
      <c r="T17" t="s">
        <v>41</v>
      </c>
      <c r="U17" t="s">
        <v>38</v>
      </c>
      <c r="V17" t="s">
        <v>39</v>
      </c>
      <c r="W17">
        <v>0</v>
      </c>
      <c r="X17">
        <v>4</v>
      </c>
      <c r="Y17" t="b">
        <v>0</v>
      </c>
      <c r="Z17" t="s">
        <v>123</v>
      </c>
      <c r="AA17" t="s">
        <v>41</v>
      </c>
      <c r="AB17" s="1">
        <v>44031.916666666664</v>
      </c>
      <c r="AC17" t="s">
        <v>42</v>
      </c>
      <c r="AD17" t="s">
        <v>43</v>
      </c>
    </row>
    <row r="18" spans="1:30" x14ac:dyDescent="0.3">
      <c r="A18">
        <v>99164</v>
      </c>
      <c r="B18" t="s">
        <v>119</v>
      </c>
      <c r="C18" t="s">
        <v>109</v>
      </c>
      <c r="D18" t="s">
        <v>110</v>
      </c>
      <c r="E18" t="s">
        <v>111</v>
      </c>
      <c r="I18" t="s">
        <v>112</v>
      </c>
      <c r="J18" t="s">
        <v>120</v>
      </c>
      <c r="K18" t="s">
        <v>121</v>
      </c>
      <c r="L18" t="s">
        <v>548</v>
      </c>
      <c r="M18" cm="1">
        <f t="array" ref="M18">Convert_Decimal(L18)</f>
        <v>41.983055555555552</v>
      </c>
      <c r="N18" t="s">
        <v>122</v>
      </c>
      <c r="P18">
        <v>1571</v>
      </c>
      <c r="Q18" s="1">
        <v>43641.916666666664</v>
      </c>
      <c r="R18" s="1">
        <v>43641.916666666664</v>
      </c>
      <c r="S18" t="s">
        <v>49</v>
      </c>
      <c r="T18" t="s">
        <v>41</v>
      </c>
      <c r="U18" t="s">
        <v>38</v>
      </c>
      <c r="V18" t="s">
        <v>39</v>
      </c>
      <c r="W18">
        <v>7</v>
      </c>
      <c r="X18">
        <v>0</v>
      </c>
      <c r="Y18" t="b">
        <v>0</v>
      </c>
      <c r="Z18" t="s">
        <v>124</v>
      </c>
      <c r="AA18" t="s">
        <v>41</v>
      </c>
      <c r="AB18" s="1">
        <v>44031.916666666664</v>
      </c>
      <c r="AC18" t="s">
        <v>42</v>
      </c>
      <c r="AD18" t="s">
        <v>43</v>
      </c>
    </row>
    <row r="19" spans="1:30" x14ac:dyDescent="0.3">
      <c r="A19">
        <v>99392</v>
      </c>
      <c r="B19" t="s">
        <v>125</v>
      </c>
      <c r="C19" t="s">
        <v>109</v>
      </c>
      <c r="D19" t="s">
        <v>110</v>
      </c>
      <c r="E19" t="s">
        <v>111</v>
      </c>
      <c r="I19" t="s">
        <v>112</v>
      </c>
      <c r="J19" t="s">
        <v>120</v>
      </c>
      <c r="K19" t="s">
        <v>126</v>
      </c>
      <c r="L19" t="s">
        <v>549</v>
      </c>
      <c r="M19" cm="1">
        <f t="array" ref="M19">Convert_Decimal(L19)</f>
        <v>41.979444444444447</v>
      </c>
      <c r="N19" t="s">
        <v>127</v>
      </c>
      <c r="P19">
        <v>1580</v>
      </c>
      <c r="Q19" s="1">
        <v>43641.916666666664</v>
      </c>
      <c r="R19" s="1">
        <v>43645.916666666664</v>
      </c>
      <c r="S19" t="s">
        <v>128</v>
      </c>
      <c r="T19" t="s">
        <v>41</v>
      </c>
      <c r="U19" t="s">
        <v>38</v>
      </c>
      <c r="V19" t="s">
        <v>39</v>
      </c>
      <c r="W19">
        <v>0</v>
      </c>
      <c r="X19">
        <v>1</v>
      </c>
      <c r="Y19" t="b">
        <v>0</v>
      </c>
      <c r="Z19" t="s">
        <v>129</v>
      </c>
      <c r="AA19" t="s">
        <v>41</v>
      </c>
      <c r="AB19" s="1">
        <v>44039.916666666664</v>
      </c>
      <c r="AC19" t="s">
        <v>42</v>
      </c>
      <c r="AD19" t="s">
        <v>43</v>
      </c>
    </row>
    <row r="20" spans="1:30" x14ac:dyDescent="0.3">
      <c r="A20">
        <v>99401</v>
      </c>
      <c r="B20" t="s">
        <v>130</v>
      </c>
      <c r="C20" t="s">
        <v>109</v>
      </c>
      <c r="D20" t="s">
        <v>110</v>
      </c>
      <c r="E20" t="s">
        <v>111</v>
      </c>
      <c r="I20" t="s">
        <v>112</v>
      </c>
      <c r="J20" t="s">
        <v>120</v>
      </c>
      <c r="K20" t="s">
        <v>126</v>
      </c>
      <c r="L20" t="s">
        <v>549</v>
      </c>
      <c r="M20" cm="1">
        <f t="array" ref="M20">Convert_Decimal(L20)</f>
        <v>41.979444444444447</v>
      </c>
      <c r="N20" t="s">
        <v>127</v>
      </c>
      <c r="P20">
        <v>1580</v>
      </c>
      <c r="Q20" s="1">
        <v>43641.916666666664</v>
      </c>
      <c r="R20" s="1">
        <v>43645.916666666664</v>
      </c>
      <c r="S20" t="s">
        <v>131</v>
      </c>
      <c r="T20" t="s">
        <v>41</v>
      </c>
      <c r="U20" t="s">
        <v>38</v>
      </c>
      <c r="V20" t="s">
        <v>39</v>
      </c>
      <c r="W20">
        <v>1</v>
      </c>
      <c r="X20">
        <v>1</v>
      </c>
      <c r="Y20" t="b">
        <v>0</v>
      </c>
      <c r="Z20" t="s">
        <v>129</v>
      </c>
      <c r="AA20" t="s">
        <v>41</v>
      </c>
      <c r="AB20" s="1">
        <v>44039.916666666664</v>
      </c>
      <c r="AC20" t="s">
        <v>42</v>
      </c>
      <c r="AD20" t="s">
        <v>43</v>
      </c>
    </row>
    <row r="21" spans="1:30" x14ac:dyDescent="0.3">
      <c r="A21">
        <v>99393</v>
      </c>
      <c r="B21" t="s">
        <v>130</v>
      </c>
      <c r="C21" t="s">
        <v>109</v>
      </c>
      <c r="D21" t="s">
        <v>110</v>
      </c>
      <c r="E21" t="s">
        <v>111</v>
      </c>
      <c r="I21" t="s">
        <v>112</v>
      </c>
      <c r="J21" t="s">
        <v>120</v>
      </c>
      <c r="K21" t="s">
        <v>126</v>
      </c>
      <c r="L21" t="s">
        <v>549</v>
      </c>
      <c r="M21" cm="1">
        <f t="array" ref="M21">Convert_Decimal(L21)</f>
        <v>41.979444444444447</v>
      </c>
      <c r="N21" t="s">
        <v>127</v>
      </c>
      <c r="P21">
        <v>1580</v>
      </c>
      <c r="Q21" s="1">
        <v>43641.916666666664</v>
      </c>
      <c r="R21" s="1">
        <v>43645.916666666664</v>
      </c>
      <c r="S21" t="s">
        <v>131</v>
      </c>
      <c r="T21" t="s">
        <v>41</v>
      </c>
      <c r="U21" t="s">
        <v>38</v>
      </c>
      <c r="V21" t="s">
        <v>39</v>
      </c>
      <c r="W21">
        <v>0</v>
      </c>
      <c r="X21">
        <v>1</v>
      </c>
      <c r="Y21" t="b">
        <v>0</v>
      </c>
      <c r="Z21" t="s">
        <v>129</v>
      </c>
      <c r="AA21" t="s">
        <v>41</v>
      </c>
      <c r="AB21" s="1">
        <v>44039.916666666664</v>
      </c>
      <c r="AC21" t="s">
        <v>42</v>
      </c>
      <c r="AD21" t="s">
        <v>43</v>
      </c>
    </row>
    <row r="22" spans="1:30" x14ac:dyDescent="0.3">
      <c r="A22">
        <v>99395</v>
      </c>
      <c r="B22" t="s">
        <v>132</v>
      </c>
      <c r="C22" t="s">
        <v>109</v>
      </c>
      <c r="D22" t="s">
        <v>110</v>
      </c>
      <c r="E22" t="s">
        <v>111</v>
      </c>
      <c r="I22" t="s">
        <v>112</v>
      </c>
      <c r="J22" t="s">
        <v>120</v>
      </c>
      <c r="K22" t="s">
        <v>133</v>
      </c>
      <c r="L22" t="s">
        <v>550</v>
      </c>
      <c r="M22" cm="1">
        <f t="array" ref="M22">Convert_Decimal(L22)</f>
        <v>41.982222222222219</v>
      </c>
      <c r="N22" t="s">
        <v>134</v>
      </c>
      <c r="P22">
        <v>1556</v>
      </c>
      <c r="Q22" s="1">
        <v>43641.916666666664</v>
      </c>
      <c r="R22" s="1">
        <v>43645.916666666664</v>
      </c>
      <c r="S22" t="s">
        <v>128</v>
      </c>
      <c r="T22" t="s">
        <v>41</v>
      </c>
      <c r="U22" t="s">
        <v>38</v>
      </c>
      <c r="V22" t="s">
        <v>39</v>
      </c>
      <c r="W22">
        <v>2</v>
      </c>
      <c r="X22">
        <v>0</v>
      </c>
      <c r="Y22" t="b">
        <v>0</v>
      </c>
      <c r="Z22" t="s">
        <v>129</v>
      </c>
      <c r="AA22" t="s">
        <v>41</v>
      </c>
      <c r="AB22" s="1">
        <v>44039.916666666664</v>
      </c>
      <c r="AC22" t="s">
        <v>42</v>
      </c>
      <c r="AD22" t="s">
        <v>43</v>
      </c>
    </row>
    <row r="23" spans="1:30" x14ac:dyDescent="0.3">
      <c r="A23">
        <v>99394</v>
      </c>
      <c r="B23" t="s">
        <v>135</v>
      </c>
      <c r="C23" t="s">
        <v>109</v>
      </c>
      <c r="D23" t="s">
        <v>110</v>
      </c>
      <c r="E23" t="s">
        <v>111</v>
      </c>
      <c r="I23" t="s">
        <v>112</v>
      </c>
      <c r="J23" t="s">
        <v>120</v>
      </c>
      <c r="K23" t="s">
        <v>133</v>
      </c>
      <c r="L23" t="s">
        <v>550</v>
      </c>
      <c r="M23" cm="1">
        <f t="array" ref="M23">Convert_Decimal(L23)</f>
        <v>41.982222222222219</v>
      </c>
      <c r="N23" t="s">
        <v>134</v>
      </c>
      <c r="P23">
        <v>1556</v>
      </c>
      <c r="Q23" s="1">
        <v>43641.916666666664</v>
      </c>
      <c r="R23" s="1">
        <v>43645.916666666664</v>
      </c>
      <c r="S23" t="s">
        <v>136</v>
      </c>
      <c r="T23" t="s">
        <v>41</v>
      </c>
      <c r="U23" t="s">
        <v>38</v>
      </c>
      <c r="V23" t="s">
        <v>39</v>
      </c>
      <c r="W23">
        <v>0</v>
      </c>
      <c r="X23">
        <v>1</v>
      </c>
      <c r="Y23" t="b">
        <v>0</v>
      </c>
      <c r="Z23" t="s">
        <v>129</v>
      </c>
      <c r="AA23" t="s">
        <v>41</v>
      </c>
      <c r="AB23" s="1">
        <v>44039.916666666664</v>
      </c>
      <c r="AC23" t="s">
        <v>42</v>
      </c>
      <c r="AD23" t="s">
        <v>43</v>
      </c>
    </row>
    <row r="24" spans="1:30" x14ac:dyDescent="0.3">
      <c r="A24">
        <v>99400</v>
      </c>
      <c r="B24" t="s">
        <v>137</v>
      </c>
      <c r="C24" t="s">
        <v>109</v>
      </c>
      <c r="D24" t="s">
        <v>110</v>
      </c>
      <c r="E24" t="s">
        <v>111</v>
      </c>
      <c r="I24" t="s">
        <v>112</v>
      </c>
      <c r="J24" t="s">
        <v>120</v>
      </c>
      <c r="K24" t="s">
        <v>133</v>
      </c>
      <c r="L24" t="s">
        <v>550</v>
      </c>
      <c r="M24" cm="1">
        <f t="array" ref="M24">Convert_Decimal(L24)</f>
        <v>41.982222222222219</v>
      </c>
      <c r="N24" t="s">
        <v>134</v>
      </c>
      <c r="P24">
        <v>1556</v>
      </c>
      <c r="Q24" s="1">
        <v>43641.916666666664</v>
      </c>
      <c r="R24" s="1">
        <v>43645.916666666664</v>
      </c>
      <c r="S24" t="s">
        <v>131</v>
      </c>
      <c r="T24" t="s">
        <v>41</v>
      </c>
      <c r="U24" t="s">
        <v>38</v>
      </c>
      <c r="V24" t="s">
        <v>39</v>
      </c>
      <c r="W24">
        <v>1</v>
      </c>
      <c r="X24">
        <v>0</v>
      </c>
      <c r="Y24" t="b">
        <v>0</v>
      </c>
      <c r="Z24" t="s">
        <v>129</v>
      </c>
      <c r="AA24" t="s">
        <v>41</v>
      </c>
      <c r="AB24" s="1">
        <v>44039.916666666664</v>
      </c>
      <c r="AC24" t="s">
        <v>42</v>
      </c>
      <c r="AD24" t="s">
        <v>43</v>
      </c>
    </row>
    <row r="25" spans="1:30" x14ac:dyDescent="0.3">
      <c r="A25">
        <v>99399</v>
      </c>
      <c r="B25" t="s">
        <v>137</v>
      </c>
      <c r="C25" t="s">
        <v>109</v>
      </c>
      <c r="D25" t="s">
        <v>110</v>
      </c>
      <c r="E25" t="s">
        <v>111</v>
      </c>
      <c r="I25" t="s">
        <v>112</v>
      </c>
      <c r="J25" t="s">
        <v>120</v>
      </c>
      <c r="K25" t="s">
        <v>133</v>
      </c>
      <c r="L25" t="s">
        <v>550</v>
      </c>
      <c r="M25" cm="1">
        <f t="array" ref="M25">Convert_Decimal(L25)</f>
        <v>41.982222222222219</v>
      </c>
      <c r="N25" t="s">
        <v>134</v>
      </c>
      <c r="P25">
        <v>1556</v>
      </c>
      <c r="Q25" s="1">
        <v>43641.916666666664</v>
      </c>
      <c r="R25" s="1">
        <v>43645.916666666664</v>
      </c>
      <c r="S25" t="s">
        <v>131</v>
      </c>
      <c r="T25" t="s">
        <v>41</v>
      </c>
      <c r="U25" t="s">
        <v>38</v>
      </c>
      <c r="V25" t="s">
        <v>39</v>
      </c>
      <c r="W25">
        <v>2</v>
      </c>
      <c r="X25">
        <v>0</v>
      </c>
      <c r="Y25" t="b">
        <v>0</v>
      </c>
      <c r="Z25" t="s">
        <v>129</v>
      </c>
      <c r="AA25" t="s">
        <v>41</v>
      </c>
      <c r="AB25" s="1">
        <v>44039.916666666664</v>
      </c>
      <c r="AC25" t="s">
        <v>42</v>
      </c>
      <c r="AD25" t="s">
        <v>43</v>
      </c>
    </row>
    <row r="26" spans="1:30" x14ac:dyDescent="0.3">
      <c r="A26">
        <v>99396</v>
      </c>
      <c r="B26" t="s">
        <v>137</v>
      </c>
      <c r="C26" t="s">
        <v>109</v>
      </c>
      <c r="D26" t="s">
        <v>110</v>
      </c>
      <c r="E26" t="s">
        <v>111</v>
      </c>
      <c r="I26" t="s">
        <v>112</v>
      </c>
      <c r="J26" t="s">
        <v>120</v>
      </c>
      <c r="K26" t="s">
        <v>133</v>
      </c>
      <c r="L26" t="s">
        <v>550</v>
      </c>
      <c r="M26" cm="1">
        <f t="array" ref="M26">Convert_Decimal(L26)</f>
        <v>41.982222222222219</v>
      </c>
      <c r="N26" t="s">
        <v>134</v>
      </c>
      <c r="P26">
        <v>1556</v>
      </c>
      <c r="Q26" s="1">
        <v>43641.916666666664</v>
      </c>
      <c r="R26" s="1">
        <v>43645.916666666664</v>
      </c>
      <c r="S26" t="s">
        <v>131</v>
      </c>
      <c r="T26" t="s">
        <v>41</v>
      </c>
      <c r="U26" t="s">
        <v>38</v>
      </c>
      <c r="V26" t="s">
        <v>39</v>
      </c>
      <c r="W26">
        <v>3</v>
      </c>
      <c r="X26">
        <v>2</v>
      </c>
      <c r="Y26" t="b">
        <v>0</v>
      </c>
      <c r="Z26" t="s">
        <v>129</v>
      </c>
      <c r="AA26" t="s">
        <v>41</v>
      </c>
      <c r="AB26" s="1">
        <v>44039.916666666664</v>
      </c>
      <c r="AC26" t="s">
        <v>42</v>
      </c>
      <c r="AD26" t="s">
        <v>43</v>
      </c>
    </row>
    <row r="27" spans="1:30" x14ac:dyDescent="0.3">
      <c r="A27">
        <v>99397</v>
      </c>
      <c r="B27" t="s">
        <v>138</v>
      </c>
      <c r="C27" t="s">
        <v>109</v>
      </c>
      <c r="D27" t="s">
        <v>110</v>
      </c>
      <c r="E27" t="s">
        <v>111</v>
      </c>
      <c r="I27" t="s">
        <v>112</v>
      </c>
      <c r="J27" t="s">
        <v>120</v>
      </c>
      <c r="K27" t="s">
        <v>139</v>
      </c>
      <c r="L27" t="s">
        <v>551</v>
      </c>
      <c r="M27" cm="1">
        <f t="array" ref="M27">Convert_Decimal(L27)</f>
        <v>41.834722222222226</v>
      </c>
      <c r="N27" t="s">
        <v>140</v>
      </c>
      <c r="P27">
        <v>1568</v>
      </c>
      <c r="Q27" s="1">
        <v>43641.916666666664</v>
      </c>
      <c r="R27" s="1">
        <v>43645.916666666664</v>
      </c>
      <c r="S27" t="s">
        <v>128</v>
      </c>
      <c r="T27" t="s">
        <v>41</v>
      </c>
      <c r="U27" t="s">
        <v>38</v>
      </c>
      <c r="V27" t="s">
        <v>39</v>
      </c>
      <c r="W27">
        <v>2</v>
      </c>
      <c r="X27">
        <v>2</v>
      </c>
      <c r="Y27" t="b">
        <v>0</v>
      </c>
      <c r="Z27" t="s">
        <v>129</v>
      </c>
      <c r="AA27" t="s">
        <v>41</v>
      </c>
      <c r="AB27" s="1">
        <v>44039.916666666664</v>
      </c>
      <c r="AC27" t="s">
        <v>42</v>
      </c>
      <c r="AD27" t="s">
        <v>43</v>
      </c>
    </row>
    <row r="28" spans="1:30" x14ac:dyDescent="0.3">
      <c r="A28">
        <v>99398</v>
      </c>
      <c r="B28" t="s">
        <v>141</v>
      </c>
      <c r="C28" t="s">
        <v>109</v>
      </c>
      <c r="D28" t="s">
        <v>110</v>
      </c>
      <c r="E28" t="s">
        <v>111</v>
      </c>
      <c r="I28" t="s">
        <v>112</v>
      </c>
      <c r="J28" t="s">
        <v>120</v>
      </c>
      <c r="K28" t="s">
        <v>142</v>
      </c>
      <c r="L28" t="s">
        <v>552</v>
      </c>
      <c r="M28" cm="1">
        <f t="array" ref="M28">Convert_Decimal(L28)</f>
        <v>41.841388888888886</v>
      </c>
      <c r="N28" t="s">
        <v>143</v>
      </c>
      <c r="P28">
        <v>1559</v>
      </c>
      <c r="Q28" s="1">
        <v>43641.916666666664</v>
      </c>
      <c r="R28" s="1">
        <v>43645.916666666664</v>
      </c>
      <c r="S28" t="s">
        <v>131</v>
      </c>
      <c r="T28" t="s">
        <v>41</v>
      </c>
      <c r="U28" t="s">
        <v>38</v>
      </c>
      <c r="V28" t="s">
        <v>39</v>
      </c>
      <c r="W28">
        <v>1</v>
      </c>
      <c r="X28">
        <v>3</v>
      </c>
      <c r="Y28" t="b">
        <v>0</v>
      </c>
      <c r="Z28" t="s">
        <v>129</v>
      </c>
      <c r="AA28" t="s">
        <v>41</v>
      </c>
      <c r="AB28" s="1">
        <v>44039.916666666664</v>
      </c>
      <c r="AC28" t="s">
        <v>42</v>
      </c>
      <c r="AD28" t="s">
        <v>43</v>
      </c>
    </row>
    <row r="29" spans="1:30" x14ac:dyDescent="0.3">
      <c r="A29">
        <v>99219</v>
      </c>
      <c r="B29" t="s">
        <v>144</v>
      </c>
      <c r="C29" t="s">
        <v>109</v>
      </c>
      <c r="D29" t="s">
        <v>110</v>
      </c>
      <c r="E29" t="s">
        <v>111</v>
      </c>
      <c r="I29" t="s">
        <v>145</v>
      </c>
      <c r="J29" t="s">
        <v>113</v>
      </c>
      <c r="K29" t="s">
        <v>146</v>
      </c>
      <c r="L29" t="s">
        <v>553</v>
      </c>
      <c r="M29" cm="1">
        <f t="array" ref="M29">Convert_Decimal(L29)</f>
        <v>41.826111111111111</v>
      </c>
      <c r="N29" t="s">
        <v>147</v>
      </c>
      <c r="P29">
        <v>935</v>
      </c>
      <c r="Q29" s="1">
        <v>43638.916666666664</v>
      </c>
      <c r="R29" s="1">
        <v>43642.916666666664</v>
      </c>
      <c r="S29" t="s">
        <v>131</v>
      </c>
      <c r="T29" t="s">
        <v>41</v>
      </c>
      <c r="U29" t="s">
        <v>38</v>
      </c>
      <c r="V29" t="s">
        <v>39</v>
      </c>
      <c r="W29">
        <v>0</v>
      </c>
      <c r="X29">
        <v>1</v>
      </c>
      <c r="Y29" t="b">
        <v>0</v>
      </c>
      <c r="Z29" t="s">
        <v>148</v>
      </c>
      <c r="AA29" t="s">
        <v>41</v>
      </c>
      <c r="AB29" s="1">
        <v>44039.916666666664</v>
      </c>
      <c r="AC29" t="s">
        <v>42</v>
      </c>
      <c r="AD29" t="s">
        <v>43</v>
      </c>
    </row>
    <row r="30" spans="1:30" x14ac:dyDescent="0.3">
      <c r="A30">
        <v>99220</v>
      </c>
      <c r="B30" t="s">
        <v>149</v>
      </c>
      <c r="C30" t="s">
        <v>109</v>
      </c>
      <c r="D30" t="s">
        <v>110</v>
      </c>
      <c r="E30" t="s">
        <v>111</v>
      </c>
      <c r="I30" t="s">
        <v>145</v>
      </c>
      <c r="J30" t="s">
        <v>113</v>
      </c>
      <c r="K30" t="s">
        <v>150</v>
      </c>
      <c r="L30" t="s">
        <v>554</v>
      </c>
      <c r="M30" cm="1">
        <f t="array" ref="M30">Convert_Decimal(L30)</f>
        <v>41.827500000000001</v>
      </c>
      <c r="N30" t="s">
        <v>151</v>
      </c>
      <c r="P30">
        <v>934</v>
      </c>
      <c r="Q30" s="1">
        <v>43638.916666666664</v>
      </c>
      <c r="R30" s="1">
        <v>43642.916666666664</v>
      </c>
      <c r="S30" t="s">
        <v>131</v>
      </c>
      <c r="T30" t="s">
        <v>41</v>
      </c>
      <c r="U30" t="s">
        <v>38</v>
      </c>
      <c r="V30" t="s">
        <v>39</v>
      </c>
      <c r="W30">
        <v>2</v>
      </c>
      <c r="X30">
        <v>0</v>
      </c>
      <c r="Y30" t="b">
        <v>0</v>
      </c>
      <c r="Z30" t="s">
        <v>148</v>
      </c>
      <c r="AA30" t="s">
        <v>41</v>
      </c>
      <c r="AB30" s="1">
        <v>44039.916666666664</v>
      </c>
      <c r="AC30" t="s">
        <v>42</v>
      </c>
      <c r="AD30" t="s">
        <v>43</v>
      </c>
    </row>
    <row r="31" spans="1:30" x14ac:dyDescent="0.3">
      <c r="A31">
        <v>99218</v>
      </c>
      <c r="B31" t="s">
        <v>152</v>
      </c>
      <c r="C31" t="s">
        <v>109</v>
      </c>
      <c r="D31" t="s">
        <v>110</v>
      </c>
      <c r="E31" t="s">
        <v>111</v>
      </c>
      <c r="I31" t="s">
        <v>145</v>
      </c>
      <c r="J31" t="s">
        <v>113</v>
      </c>
      <c r="K31" t="s">
        <v>153</v>
      </c>
      <c r="L31" t="s">
        <v>555</v>
      </c>
      <c r="M31" cm="1">
        <f t="array" ref="M31">Convert_Decimal(L31)</f>
        <v>41.845277777777781</v>
      </c>
      <c r="N31" t="s">
        <v>154</v>
      </c>
      <c r="P31">
        <v>845</v>
      </c>
      <c r="Q31" s="1">
        <v>43638.916666666664</v>
      </c>
      <c r="R31" s="1">
        <v>43642.916666666664</v>
      </c>
      <c r="S31" t="s">
        <v>131</v>
      </c>
      <c r="T31" t="s">
        <v>41</v>
      </c>
      <c r="U31" t="s">
        <v>38</v>
      </c>
      <c r="V31" t="s">
        <v>39</v>
      </c>
      <c r="W31">
        <v>0</v>
      </c>
      <c r="X31">
        <v>1</v>
      </c>
      <c r="Y31" t="b">
        <v>0</v>
      </c>
      <c r="Z31" t="s">
        <v>148</v>
      </c>
      <c r="AA31" t="s">
        <v>41</v>
      </c>
      <c r="AB31" s="1">
        <v>44039.916666666664</v>
      </c>
      <c r="AC31" t="s">
        <v>42</v>
      </c>
      <c r="AD31" t="s">
        <v>43</v>
      </c>
    </row>
    <row r="32" spans="1:30" x14ac:dyDescent="0.3">
      <c r="A32">
        <v>120924</v>
      </c>
      <c r="B32" t="s">
        <v>155</v>
      </c>
      <c r="C32" t="s">
        <v>109</v>
      </c>
      <c r="D32" t="s">
        <v>110</v>
      </c>
      <c r="E32" t="s">
        <v>111</v>
      </c>
      <c r="I32" t="s">
        <v>156</v>
      </c>
      <c r="J32" t="s">
        <v>113</v>
      </c>
      <c r="K32" t="s">
        <v>157</v>
      </c>
      <c r="L32" t="s">
        <v>556</v>
      </c>
      <c r="M32" cm="1">
        <f t="array" ref="M32">Convert_Decimal(L32)</f>
        <v>85.668333333333337</v>
      </c>
      <c r="N32" t="s">
        <v>158</v>
      </c>
      <c r="P32">
        <v>949</v>
      </c>
      <c r="Q32" s="1">
        <v>43629.916666666664</v>
      </c>
      <c r="R32" s="1">
        <v>43642.916666666664</v>
      </c>
      <c r="S32" t="s">
        <v>116</v>
      </c>
      <c r="T32" t="s">
        <v>117</v>
      </c>
      <c r="U32" t="s">
        <v>38</v>
      </c>
      <c r="V32" t="s">
        <v>39</v>
      </c>
      <c r="W32">
        <v>1</v>
      </c>
      <c r="X32">
        <v>3</v>
      </c>
      <c r="Y32" t="b">
        <v>0</v>
      </c>
      <c r="Z32" t="s">
        <v>118</v>
      </c>
      <c r="AA32" t="s">
        <v>41</v>
      </c>
      <c r="AB32" s="1">
        <v>44171.958333333336</v>
      </c>
      <c r="AC32" t="s">
        <v>42</v>
      </c>
      <c r="AD32" t="s">
        <v>43</v>
      </c>
    </row>
    <row r="33" spans="1:30" x14ac:dyDescent="0.3">
      <c r="A33">
        <v>120857</v>
      </c>
      <c r="B33" t="s">
        <v>159</v>
      </c>
      <c r="C33" t="s">
        <v>109</v>
      </c>
      <c r="D33" t="s">
        <v>110</v>
      </c>
      <c r="E33" t="s">
        <v>111</v>
      </c>
      <c r="I33" t="s">
        <v>156</v>
      </c>
      <c r="J33" t="s">
        <v>113</v>
      </c>
      <c r="K33" t="s">
        <v>157</v>
      </c>
      <c r="L33" t="s">
        <v>557</v>
      </c>
      <c r="M33" cm="1">
        <f t="array" ref="M33">Convert_Decimal(L33)</f>
        <v>45.050833333333337</v>
      </c>
      <c r="N33" t="s">
        <v>160</v>
      </c>
      <c r="P33">
        <v>929</v>
      </c>
      <c r="Q33" s="1">
        <v>43629.916666666664</v>
      </c>
      <c r="R33" s="1">
        <v>43642.916666666664</v>
      </c>
      <c r="S33" t="s">
        <v>116</v>
      </c>
      <c r="T33" t="s">
        <v>117</v>
      </c>
      <c r="U33" t="s">
        <v>38</v>
      </c>
      <c r="V33" t="s">
        <v>39</v>
      </c>
      <c r="W33">
        <v>3</v>
      </c>
      <c r="X33">
        <v>2</v>
      </c>
      <c r="Y33" t="b">
        <v>0</v>
      </c>
      <c r="Z33" t="s">
        <v>118</v>
      </c>
      <c r="AA33" t="s">
        <v>41</v>
      </c>
      <c r="AB33" s="1">
        <v>44171.958333333336</v>
      </c>
      <c r="AC33" t="s">
        <v>42</v>
      </c>
      <c r="AD33" t="s">
        <v>43</v>
      </c>
    </row>
    <row r="34" spans="1:30" x14ac:dyDescent="0.3">
      <c r="A34">
        <v>120935</v>
      </c>
      <c r="B34" t="s">
        <v>161</v>
      </c>
      <c r="C34" t="s">
        <v>109</v>
      </c>
      <c r="D34" t="s">
        <v>110</v>
      </c>
      <c r="E34" t="s">
        <v>111</v>
      </c>
      <c r="I34" t="s">
        <v>156</v>
      </c>
      <c r="J34" t="s">
        <v>113</v>
      </c>
      <c r="K34" t="s">
        <v>157</v>
      </c>
      <c r="L34" t="s">
        <v>558</v>
      </c>
      <c r="M34" cm="1">
        <f t="array" ref="M34">Convert_Decimal(L34)</f>
        <v>73.768333333333331</v>
      </c>
      <c r="N34" t="s">
        <v>162</v>
      </c>
      <c r="P34">
        <v>936</v>
      </c>
      <c r="Q34" s="1">
        <v>43629.916666666664</v>
      </c>
      <c r="R34" s="1">
        <v>43642.916666666664</v>
      </c>
      <c r="S34" t="s">
        <v>116</v>
      </c>
      <c r="T34" t="s">
        <v>117</v>
      </c>
      <c r="U34" t="s">
        <v>38</v>
      </c>
      <c r="V34" t="s">
        <v>39</v>
      </c>
      <c r="W34">
        <v>0</v>
      </c>
      <c r="X34">
        <v>4</v>
      </c>
      <c r="Y34" t="b">
        <v>0</v>
      </c>
      <c r="Z34" t="s">
        <v>118</v>
      </c>
      <c r="AA34" t="s">
        <v>41</v>
      </c>
      <c r="AB34" s="1">
        <v>44171.958333333336</v>
      </c>
      <c r="AC34" t="s">
        <v>42</v>
      </c>
      <c r="AD34" t="s">
        <v>43</v>
      </c>
    </row>
    <row r="35" spans="1:30" x14ac:dyDescent="0.3">
      <c r="A35">
        <v>120882</v>
      </c>
      <c r="B35" t="s">
        <v>163</v>
      </c>
      <c r="C35" t="s">
        <v>109</v>
      </c>
      <c r="D35" t="s">
        <v>110</v>
      </c>
      <c r="E35" t="s">
        <v>111</v>
      </c>
      <c r="I35" t="s">
        <v>156</v>
      </c>
      <c r="J35" t="s">
        <v>113</v>
      </c>
      <c r="K35" t="s">
        <v>157</v>
      </c>
      <c r="L35" t="s">
        <v>556</v>
      </c>
      <c r="M35" cm="1">
        <f t="array" ref="M35">Convert_Decimal(L35)</f>
        <v>85.668333333333337</v>
      </c>
      <c r="N35" t="s">
        <v>158</v>
      </c>
      <c r="P35">
        <v>949</v>
      </c>
      <c r="Q35" s="1">
        <v>43642.916666666664</v>
      </c>
      <c r="R35" s="1">
        <v>43656.916666666664</v>
      </c>
      <c r="S35" t="s">
        <v>116</v>
      </c>
      <c r="T35" t="s">
        <v>117</v>
      </c>
      <c r="U35" t="s">
        <v>38</v>
      </c>
      <c r="V35" t="s">
        <v>39</v>
      </c>
      <c r="W35">
        <v>1</v>
      </c>
      <c r="X35">
        <v>0</v>
      </c>
      <c r="Y35" t="b">
        <v>0</v>
      </c>
      <c r="Z35" t="s">
        <v>118</v>
      </c>
      <c r="AA35" t="s">
        <v>41</v>
      </c>
      <c r="AB35" s="1">
        <v>44171.958333333336</v>
      </c>
      <c r="AC35" t="s">
        <v>42</v>
      </c>
      <c r="AD35" t="s">
        <v>43</v>
      </c>
    </row>
    <row r="36" spans="1:30" x14ac:dyDescent="0.3">
      <c r="A36">
        <v>120786</v>
      </c>
      <c r="B36" t="s">
        <v>164</v>
      </c>
      <c r="C36" t="s">
        <v>109</v>
      </c>
      <c r="D36" t="s">
        <v>110</v>
      </c>
      <c r="E36" t="s">
        <v>111</v>
      </c>
      <c r="I36" t="s">
        <v>156</v>
      </c>
      <c r="J36" t="s">
        <v>113</v>
      </c>
      <c r="K36" t="s">
        <v>157</v>
      </c>
      <c r="L36" t="s">
        <v>558</v>
      </c>
      <c r="M36" cm="1">
        <f t="array" ref="M36">Convert_Decimal(L36)</f>
        <v>73.768333333333331</v>
      </c>
      <c r="N36" t="s">
        <v>162</v>
      </c>
      <c r="P36">
        <v>936</v>
      </c>
      <c r="Q36" s="1">
        <v>43642.916666666664</v>
      </c>
      <c r="R36" s="1">
        <v>43656.916666666664</v>
      </c>
      <c r="S36" t="s">
        <v>116</v>
      </c>
      <c r="T36" t="s">
        <v>117</v>
      </c>
      <c r="U36" t="s">
        <v>38</v>
      </c>
      <c r="V36" t="s">
        <v>39</v>
      </c>
      <c r="W36">
        <v>0</v>
      </c>
      <c r="X36">
        <v>1</v>
      </c>
      <c r="Y36" t="b">
        <v>0</v>
      </c>
      <c r="Z36" t="s">
        <v>118</v>
      </c>
      <c r="AA36" t="s">
        <v>41</v>
      </c>
      <c r="AB36" s="1">
        <v>44171.958333333336</v>
      </c>
      <c r="AC36" t="s">
        <v>42</v>
      </c>
      <c r="AD36" t="s">
        <v>43</v>
      </c>
    </row>
    <row r="37" spans="1:30" x14ac:dyDescent="0.3">
      <c r="A37">
        <v>120903</v>
      </c>
      <c r="B37" t="s">
        <v>163</v>
      </c>
      <c r="C37" t="s">
        <v>109</v>
      </c>
      <c r="D37" t="s">
        <v>110</v>
      </c>
      <c r="E37" t="s">
        <v>111</v>
      </c>
      <c r="I37" t="s">
        <v>156</v>
      </c>
      <c r="J37" t="s">
        <v>113</v>
      </c>
      <c r="K37" t="s">
        <v>157</v>
      </c>
      <c r="L37" t="s">
        <v>556</v>
      </c>
      <c r="M37" cm="1">
        <f t="array" ref="M37">Convert_Decimal(L37)</f>
        <v>85.668333333333337</v>
      </c>
      <c r="N37" t="s">
        <v>158</v>
      </c>
      <c r="P37">
        <v>949</v>
      </c>
      <c r="Q37" s="1">
        <v>43642.916666666664</v>
      </c>
      <c r="R37" s="1">
        <v>43656.916666666664</v>
      </c>
      <c r="S37" t="s">
        <v>116</v>
      </c>
      <c r="T37" t="s">
        <v>117</v>
      </c>
      <c r="U37" t="s">
        <v>38</v>
      </c>
      <c r="V37" t="s">
        <v>39</v>
      </c>
      <c r="W37">
        <v>0</v>
      </c>
      <c r="X37">
        <v>1</v>
      </c>
      <c r="Y37" t="b">
        <v>0</v>
      </c>
      <c r="Z37" t="s">
        <v>118</v>
      </c>
      <c r="AA37" t="s">
        <v>41</v>
      </c>
      <c r="AB37" s="1">
        <v>44171.958333333336</v>
      </c>
      <c r="AC37" t="s">
        <v>42</v>
      </c>
      <c r="AD37" t="s">
        <v>43</v>
      </c>
    </row>
    <row r="38" spans="1:30" x14ac:dyDescent="0.3">
      <c r="A38">
        <v>120816</v>
      </c>
      <c r="B38" t="s">
        <v>165</v>
      </c>
      <c r="C38" t="s">
        <v>109</v>
      </c>
      <c r="D38" t="s">
        <v>110</v>
      </c>
      <c r="E38" t="s">
        <v>111</v>
      </c>
      <c r="I38" t="s">
        <v>156</v>
      </c>
      <c r="J38" t="s">
        <v>113</v>
      </c>
      <c r="K38" t="s">
        <v>157</v>
      </c>
      <c r="L38" t="s">
        <v>558</v>
      </c>
      <c r="M38" cm="1">
        <f t="array" ref="M38">Convert_Decimal(L38)</f>
        <v>73.768333333333331</v>
      </c>
      <c r="N38" t="s">
        <v>162</v>
      </c>
      <c r="P38">
        <v>936</v>
      </c>
      <c r="Q38" s="1">
        <v>43726.916666666664</v>
      </c>
      <c r="R38" s="1">
        <v>43740.916666666664</v>
      </c>
      <c r="S38" t="s">
        <v>116</v>
      </c>
      <c r="T38" t="s">
        <v>117</v>
      </c>
      <c r="U38" t="s">
        <v>38</v>
      </c>
      <c r="V38" t="s">
        <v>39</v>
      </c>
      <c r="W38">
        <v>0</v>
      </c>
      <c r="X38">
        <v>2</v>
      </c>
      <c r="Y38" t="b">
        <v>0</v>
      </c>
      <c r="Z38" t="s">
        <v>118</v>
      </c>
      <c r="AA38" t="s">
        <v>41</v>
      </c>
      <c r="AB38" s="1">
        <v>44171.958333333336</v>
      </c>
      <c r="AC38" t="s">
        <v>42</v>
      </c>
      <c r="AD38" t="s">
        <v>43</v>
      </c>
    </row>
    <row r="39" spans="1:30" x14ac:dyDescent="0.3">
      <c r="A39">
        <v>99655</v>
      </c>
      <c r="B39" t="s">
        <v>166</v>
      </c>
      <c r="C39" t="s">
        <v>109</v>
      </c>
      <c r="D39" t="s">
        <v>110</v>
      </c>
      <c r="E39" t="s">
        <v>111</v>
      </c>
      <c r="I39" t="s">
        <v>167</v>
      </c>
      <c r="J39" t="s">
        <v>168</v>
      </c>
      <c r="K39" t="s">
        <v>169</v>
      </c>
      <c r="L39" t="s">
        <v>559</v>
      </c>
      <c r="M39" cm="1">
        <f t="array" ref="M39">Convert_Decimal(L39)</f>
        <v>41.958333333333336</v>
      </c>
      <c r="N39" t="s">
        <v>170</v>
      </c>
      <c r="P39">
        <v>1251</v>
      </c>
      <c r="Q39" s="1">
        <v>43640.916666666664</v>
      </c>
      <c r="R39" s="1">
        <v>43640.916666666664</v>
      </c>
      <c r="S39" t="s">
        <v>49</v>
      </c>
      <c r="T39" t="s">
        <v>41</v>
      </c>
      <c r="U39" t="s">
        <v>38</v>
      </c>
      <c r="V39" t="s">
        <v>39</v>
      </c>
      <c r="W39">
        <v>0</v>
      </c>
      <c r="X39">
        <v>1</v>
      </c>
      <c r="Y39" t="b">
        <v>0</v>
      </c>
      <c r="Z39" t="s">
        <v>123</v>
      </c>
      <c r="AA39" t="s">
        <v>41</v>
      </c>
      <c r="AB39" s="1">
        <v>44031.916666666664</v>
      </c>
      <c r="AC39" t="s">
        <v>42</v>
      </c>
      <c r="AD39" t="s">
        <v>43</v>
      </c>
    </row>
    <row r="40" spans="1:30" x14ac:dyDescent="0.3">
      <c r="A40">
        <v>99023</v>
      </c>
      <c r="B40" t="s">
        <v>171</v>
      </c>
      <c r="C40" t="s">
        <v>109</v>
      </c>
      <c r="D40" t="s">
        <v>110</v>
      </c>
      <c r="E40" t="s">
        <v>111</v>
      </c>
      <c r="I40" t="s">
        <v>172</v>
      </c>
      <c r="J40" t="s">
        <v>173</v>
      </c>
      <c r="K40" t="s">
        <v>174</v>
      </c>
      <c r="L40" t="s">
        <v>560</v>
      </c>
      <c r="M40" t="e" cm="1">
        <f t="array" ref="M40">Convert_Decimal(L40)</f>
        <v>#VALUE!</v>
      </c>
      <c r="N40" t="s">
        <v>175</v>
      </c>
      <c r="P40">
        <v>1095</v>
      </c>
      <c r="Q40" s="1">
        <v>43639.916666666664</v>
      </c>
      <c r="R40" s="1">
        <v>43639.916666666664</v>
      </c>
      <c r="S40" t="s">
        <v>36</v>
      </c>
      <c r="T40" t="s">
        <v>41</v>
      </c>
      <c r="U40" t="s">
        <v>38</v>
      </c>
      <c r="V40" t="s">
        <v>39</v>
      </c>
      <c r="W40">
        <v>2</v>
      </c>
      <c r="X40">
        <v>0</v>
      </c>
      <c r="Y40" t="b">
        <v>0</v>
      </c>
      <c r="Z40" t="s">
        <v>123</v>
      </c>
      <c r="AA40" t="s">
        <v>41</v>
      </c>
      <c r="AB40" s="1">
        <v>44030.916666666664</v>
      </c>
      <c r="AC40" t="s">
        <v>42</v>
      </c>
      <c r="AD40" t="s">
        <v>43</v>
      </c>
    </row>
    <row r="41" spans="1:30" x14ac:dyDescent="0.3">
      <c r="A41">
        <v>99643</v>
      </c>
      <c r="B41" t="s">
        <v>176</v>
      </c>
      <c r="C41" t="s">
        <v>109</v>
      </c>
      <c r="D41" t="s">
        <v>110</v>
      </c>
      <c r="E41" t="s">
        <v>111</v>
      </c>
      <c r="I41" t="s">
        <v>172</v>
      </c>
      <c r="J41" t="s">
        <v>173</v>
      </c>
      <c r="K41" t="s">
        <v>174</v>
      </c>
      <c r="L41" t="s">
        <v>561</v>
      </c>
      <c r="M41" t="e" cm="1">
        <f t="array" ref="M41">Convert_Decimal(L41)</f>
        <v>#VALUE!</v>
      </c>
      <c r="N41" t="s">
        <v>177</v>
      </c>
      <c r="P41">
        <v>1154</v>
      </c>
      <c r="Q41" s="1">
        <v>43639.916666666664</v>
      </c>
      <c r="R41" s="1">
        <v>43639.916666666664</v>
      </c>
      <c r="S41" t="s">
        <v>36</v>
      </c>
      <c r="T41" t="s">
        <v>41</v>
      </c>
      <c r="U41" t="s">
        <v>38</v>
      </c>
      <c r="V41" t="s">
        <v>39</v>
      </c>
      <c r="W41">
        <v>0</v>
      </c>
      <c r="X41">
        <v>1</v>
      </c>
      <c r="Y41" t="b">
        <v>0</v>
      </c>
      <c r="Z41" t="s">
        <v>123</v>
      </c>
      <c r="AA41" t="s">
        <v>41</v>
      </c>
      <c r="AB41" s="1">
        <v>44030.916666666664</v>
      </c>
      <c r="AC41" t="s">
        <v>42</v>
      </c>
      <c r="AD41" t="s">
        <v>43</v>
      </c>
    </row>
    <row r="42" spans="1:30" x14ac:dyDescent="0.3">
      <c r="A42">
        <v>99024</v>
      </c>
      <c r="B42" t="s">
        <v>178</v>
      </c>
      <c r="C42" t="s">
        <v>109</v>
      </c>
      <c r="D42" t="s">
        <v>110</v>
      </c>
      <c r="E42" t="s">
        <v>111</v>
      </c>
      <c r="I42" t="s">
        <v>172</v>
      </c>
      <c r="J42" t="s">
        <v>173</v>
      </c>
      <c r="K42" t="s">
        <v>174</v>
      </c>
      <c r="L42" t="s">
        <v>562</v>
      </c>
      <c r="M42" t="e" cm="1">
        <f t="array" ref="M42">Convert_Decimal(L42)</f>
        <v>#VALUE!</v>
      </c>
      <c r="N42" t="s">
        <v>179</v>
      </c>
      <c r="P42">
        <v>1117</v>
      </c>
      <c r="Q42" s="1">
        <v>43639.916666666664</v>
      </c>
      <c r="R42" s="1">
        <v>43639.916666666664</v>
      </c>
      <c r="S42" t="s">
        <v>49</v>
      </c>
      <c r="T42" t="s">
        <v>41</v>
      </c>
      <c r="U42" t="s">
        <v>38</v>
      </c>
      <c r="V42" t="s">
        <v>39</v>
      </c>
      <c r="W42">
        <v>3</v>
      </c>
      <c r="X42">
        <v>0</v>
      </c>
      <c r="Y42" t="b">
        <v>0</v>
      </c>
      <c r="Z42" t="s">
        <v>123</v>
      </c>
      <c r="AA42" t="s">
        <v>41</v>
      </c>
      <c r="AB42" s="1">
        <v>44030.916666666664</v>
      </c>
      <c r="AC42" t="s">
        <v>42</v>
      </c>
      <c r="AD42" t="s">
        <v>43</v>
      </c>
    </row>
    <row r="43" spans="1:30" x14ac:dyDescent="0.3">
      <c r="A43">
        <v>99644</v>
      </c>
      <c r="B43" t="s">
        <v>178</v>
      </c>
      <c r="C43" t="s">
        <v>109</v>
      </c>
      <c r="D43" t="s">
        <v>110</v>
      </c>
      <c r="E43" t="s">
        <v>111</v>
      </c>
      <c r="I43" t="s">
        <v>172</v>
      </c>
      <c r="J43" t="s">
        <v>173</v>
      </c>
      <c r="K43" t="s">
        <v>174</v>
      </c>
      <c r="L43" t="s">
        <v>562</v>
      </c>
      <c r="M43" t="e" cm="1">
        <f t="array" ref="M43">Convert_Decimal(L43)</f>
        <v>#VALUE!</v>
      </c>
      <c r="N43" t="s">
        <v>179</v>
      </c>
      <c r="P43">
        <v>1117</v>
      </c>
      <c r="Q43" s="1">
        <v>43639.916666666664</v>
      </c>
      <c r="R43" s="1">
        <v>43639.916666666664</v>
      </c>
      <c r="S43" t="s">
        <v>49</v>
      </c>
      <c r="T43" t="s">
        <v>41</v>
      </c>
      <c r="U43" t="s">
        <v>38</v>
      </c>
      <c r="V43" t="s">
        <v>39</v>
      </c>
      <c r="W43">
        <v>0</v>
      </c>
      <c r="X43">
        <v>2</v>
      </c>
      <c r="Y43" t="b">
        <v>0</v>
      </c>
      <c r="Z43" t="s">
        <v>123</v>
      </c>
      <c r="AA43" t="s">
        <v>41</v>
      </c>
      <c r="AB43" s="1">
        <v>44030.916666666664</v>
      </c>
      <c r="AC43" t="s">
        <v>42</v>
      </c>
      <c r="AD43" t="s">
        <v>43</v>
      </c>
    </row>
    <row r="44" spans="1:30" x14ac:dyDescent="0.3">
      <c r="A44">
        <v>99646</v>
      </c>
      <c r="B44" t="s">
        <v>180</v>
      </c>
      <c r="C44" t="s">
        <v>109</v>
      </c>
      <c r="D44" t="s">
        <v>110</v>
      </c>
      <c r="E44" t="s">
        <v>111</v>
      </c>
      <c r="I44" t="s">
        <v>172</v>
      </c>
      <c r="J44" t="s">
        <v>173</v>
      </c>
      <c r="K44" t="s">
        <v>174</v>
      </c>
      <c r="L44" t="s">
        <v>563</v>
      </c>
      <c r="M44" t="e" cm="1">
        <f t="array" ref="M44">Convert_Decimal(L44)</f>
        <v>#VALUE!</v>
      </c>
      <c r="N44" t="s">
        <v>181</v>
      </c>
      <c r="P44">
        <v>1116</v>
      </c>
      <c r="Q44" s="1">
        <v>43639.916666666664</v>
      </c>
      <c r="R44" s="1">
        <v>43639.916666666664</v>
      </c>
      <c r="S44" t="s">
        <v>36</v>
      </c>
      <c r="T44" t="s">
        <v>41</v>
      </c>
      <c r="U44" t="s">
        <v>38</v>
      </c>
      <c r="V44" t="s">
        <v>39</v>
      </c>
      <c r="W44">
        <v>0</v>
      </c>
      <c r="X44">
        <v>1</v>
      </c>
      <c r="Y44" t="b">
        <v>0</v>
      </c>
      <c r="Z44" t="s">
        <v>123</v>
      </c>
      <c r="AA44" t="s">
        <v>41</v>
      </c>
      <c r="AB44" s="1">
        <v>44030.916666666664</v>
      </c>
      <c r="AC44" t="s">
        <v>42</v>
      </c>
      <c r="AD44" t="s">
        <v>43</v>
      </c>
    </row>
    <row r="45" spans="1:30" x14ac:dyDescent="0.3">
      <c r="A45">
        <v>99271</v>
      </c>
      <c r="B45" t="s">
        <v>182</v>
      </c>
      <c r="C45" t="s">
        <v>109</v>
      </c>
      <c r="D45" t="s">
        <v>110</v>
      </c>
      <c r="E45" t="s">
        <v>111</v>
      </c>
      <c r="I45" t="s">
        <v>172</v>
      </c>
      <c r="J45" t="s">
        <v>173</v>
      </c>
      <c r="K45" t="s">
        <v>174</v>
      </c>
      <c r="L45" t="s">
        <v>564</v>
      </c>
      <c r="M45" t="e" cm="1">
        <f t="array" ref="M45">Convert_Decimal(L45)</f>
        <v>#VALUE!</v>
      </c>
      <c r="N45" t="s">
        <v>183</v>
      </c>
      <c r="P45">
        <v>1120</v>
      </c>
      <c r="Q45" s="1">
        <v>43639.916666666664</v>
      </c>
      <c r="R45" s="1">
        <v>43639.916666666664</v>
      </c>
      <c r="S45" t="s">
        <v>184</v>
      </c>
      <c r="T45" t="s">
        <v>41</v>
      </c>
      <c r="U45" t="s">
        <v>38</v>
      </c>
      <c r="V45" t="s">
        <v>39</v>
      </c>
      <c r="W45">
        <v>0</v>
      </c>
      <c r="X45">
        <v>1</v>
      </c>
      <c r="Y45" t="b">
        <v>0</v>
      </c>
      <c r="Z45" t="s">
        <v>185</v>
      </c>
      <c r="AA45" t="s">
        <v>41</v>
      </c>
      <c r="AB45" s="1">
        <v>44039.916666666664</v>
      </c>
      <c r="AC45" t="s">
        <v>42</v>
      </c>
      <c r="AD45" t="s">
        <v>43</v>
      </c>
    </row>
    <row r="46" spans="1:30" x14ac:dyDescent="0.3">
      <c r="A46">
        <v>99648</v>
      </c>
      <c r="B46" t="s">
        <v>186</v>
      </c>
      <c r="C46" t="s">
        <v>109</v>
      </c>
      <c r="D46" t="s">
        <v>110</v>
      </c>
      <c r="E46" t="s">
        <v>111</v>
      </c>
      <c r="I46" t="s">
        <v>172</v>
      </c>
      <c r="J46" t="s">
        <v>173</v>
      </c>
      <c r="K46" t="s">
        <v>174</v>
      </c>
      <c r="L46" t="s">
        <v>565</v>
      </c>
      <c r="M46" t="e" cm="1">
        <f t="array" ref="M46">Convert_Decimal(L46)</f>
        <v>#VALUE!</v>
      </c>
      <c r="N46" t="s">
        <v>187</v>
      </c>
      <c r="P46">
        <v>1115</v>
      </c>
      <c r="Q46" s="1">
        <v>43639.916666666664</v>
      </c>
      <c r="R46" s="1">
        <v>43639.916666666664</v>
      </c>
      <c r="S46" t="s">
        <v>49</v>
      </c>
      <c r="T46" t="s">
        <v>41</v>
      </c>
      <c r="U46" t="s">
        <v>38</v>
      </c>
      <c r="V46" t="s">
        <v>39</v>
      </c>
      <c r="W46">
        <v>0</v>
      </c>
      <c r="X46">
        <v>1</v>
      </c>
      <c r="Y46" t="b">
        <v>0</v>
      </c>
      <c r="Z46" t="s">
        <v>123</v>
      </c>
      <c r="AA46" t="s">
        <v>41</v>
      </c>
      <c r="AB46" s="1">
        <v>44030.916666666664</v>
      </c>
      <c r="AC46" t="s">
        <v>42</v>
      </c>
      <c r="AD46" t="s">
        <v>43</v>
      </c>
    </row>
    <row r="47" spans="1:30" x14ac:dyDescent="0.3">
      <c r="A47">
        <v>99025</v>
      </c>
      <c r="B47" t="s">
        <v>186</v>
      </c>
      <c r="C47" t="s">
        <v>109</v>
      </c>
      <c r="D47" t="s">
        <v>110</v>
      </c>
      <c r="E47" t="s">
        <v>111</v>
      </c>
      <c r="I47" t="s">
        <v>172</v>
      </c>
      <c r="J47" t="s">
        <v>173</v>
      </c>
      <c r="K47" t="s">
        <v>174</v>
      </c>
      <c r="L47" t="s">
        <v>565</v>
      </c>
      <c r="M47" t="e" cm="1">
        <f t="array" ref="M47">Convert_Decimal(L47)</f>
        <v>#VALUE!</v>
      </c>
      <c r="N47" t="s">
        <v>187</v>
      </c>
      <c r="P47">
        <v>1115</v>
      </c>
      <c r="Q47" s="1">
        <v>43639.916666666664</v>
      </c>
      <c r="R47" s="1">
        <v>43639.916666666664</v>
      </c>
      <c r="S47" t="s">
        <v>49</v>
      </c>
      <c r="T47" t="s">
        <v>41</v>
      </c>
      <c r="U47" t="s">
        <v>38</v>
      </c>
      <c r="V47" t="s">
        <v>39</v>
      </c>
      <c r="W47">
        <v>2</v>
      </c>
      <c r="X47">
        <v>0</v>
      </c>
      <c r="Y47" t="b">
        <v>0</v>
      </c>
      <c r="Z47" t="s">
        <v>123</v>
      </c>
      <c r="AA47" t="s">
        <v>41</v>
      </c>
      <c r="AB47" s="1">
        <v>44030.916666666664</v>
      </c>
      <c r="AC47" t="s">
        <v>42</v>
      </c>
      <c r="AD47" t="s">
        <v>43</v>
      </c>
    </row>
    <row r="48" spans="1:30" x14ac:dyDescent="0.3">
      <c r="A48">
        <v>99253</v>
      </c>
      <c r="B48" t="s">
        <v>188</v>
      </c>
      <c r="C48" t="s">
        <v>109</v>
      </c>
      <c r="D48" t="s">
        <v>110</v>
      </c>
      <c r="E48" t="s">
        <v>111</v>
      </c>
      <c r="I48" t="s">
        <v>172</v>
      </c>
      <c r="J48" t="s">
        <v>173</v>
      </c>
      <c r="K48" t="s">
        <v>189</v>
      </c>
      <c r="L48" t="s">
        <v>566</v>
      </c>
      <c r="M48" t="e" cm="1">
        <f t="array" ref="M48">Convert_Decimal(L48)</f>
        <v>#VALUE!</v>
      </c>
      <c r="N48" t="s">
        <v>190</v>
      </c>
      <c r="P48">
        <v>1209</v>
      </c>
      <c r="Q48" s="1">
        <v>43639.916666666664</v>
      </c>
      <c r="R48" s="1">
        <v>43643.916666666664</v>
      </c>
      <c r="S48" t="s">
        <v>136</v>
      </c>
      <c r="T48" t="s">
        <v>41</v>
      </c>
      <c r="U48" t="s">
        <v>38</v>
      </c>
      <c r="V48" t="s">
        <v>39</v>
      </c>
      <c r="W48">
        <v>0</v>
      </c>
      <c r="X48">
        <v>1</v>
      </c>
      <c r="Y48" t="b">
        <v>0</v>
      </c>
      <c r="Z48" t="s">
        <v>185</v>
      </c>
      <c r="AA48" t="s">
        <v>41</v>
      </c>
      <c r="AB48" s="1">
        <v>44039.916666666664</v>
      </c>
      <c r="AC48" t="s">
        <v>42</v>
      </c>
      <c r="AD48" t="s">
        <v>43</v>
      </c>
    </row>
    <row r="49" spans="1:30" x14ac:dyDescent="0.3">
      <c r="A49">
        <v>99254</v>
      </c>
      <c r="B49" t="s">
        <v>191</v>
      </c>
      <c r="C49" t="s">
        <v>109</v>
      </c>
      <c r="D49" t="s">
        <v>110</v>
      </c>
      <c r="E49" t="s">
        <v>111</v>
      </c>
      <c r="I49" t="s">
        <v>172</v>
      </c>
      <c r="J49" t="s">
        <v>173</v>
      </c>
      <c r="K49" t="s">
        <v>189</v>
      </c>
      <c r="L49" t="s">
        <v>566</v>
      </c>
      <c r="M49" t="e" cm="1">
        <f t="array" ref="M49">Convert_Decimal(L49)</f>
        <v>#VALUE!</v>
      </c>
      <c r="N49" t="s">
        <v>190</v>
      </c>
      <c r="P49">
        <v>1209</v>
      </c>
      <c r="Q49" s="1">
        <v>43639.916666666664</v>
      </c>
      <c r="R49" s="1">
        <v>43643.916666666664</v>
      </c>
      <c r="S49" t="s">
        <v>128</v>
      </c>
      <c r="T49" t="s">
        <v>41</v>
      </c>
      <c r="U49" t="s">
        <v>38</v>
      </c>
      <c r="V49" t="s">
        <v>39</v>
      </c>
      <c r="W49">
        <v>0</v>
      </c>
      <c r="X49">
        <v>1</v>
      </c>
      <c r="Y49" t="b">
        <v>0</v>
      </c>
      <c r="Z49" t="s">
        <v>185</v>
      </c>
      <c r="AA49" t="s">
        <v>41</v>
      </c>
      <c r="AB49" s="1">
        <v>44039.916666666664</v>
      </c>
      <c r="AC49" t="s">
        <v>42</v>
      </c>
      <c r="AD49" t="s">
        <v>43</v>
      </c>
    </row>
    <row r="50" spans="1:30" x14ac:dyDescent="0.3">
      <c r="A50">
        <v>99269</v>
      </c>
      <c r="B50" t="s">
        <v>192</v>
      </c>
      <c r="C50" t="s">
        <v>109</v>
      </c>
      <c r="D50" t="s">
        <v>110</v>
      </c>
      <c r="E50" t="s">
        <v>111</v>
      </c>
      <c r="I50" t="s">
        <v>172</v>
      </c>
      <c r="J50" t="s">
        <v>173</v>
      </c>
      <c r="K50" t="s">
        <v>189</v>
      </c>
      <c r="L50" t="s">
        <v>566</v>
      </c>
      <c r="M50" t="e" cm="1">
        <f t="array" ref="M50">Convert_Decimal(L50)</f>
        <v>#VALUE!</v>
      </c>
      <c r="N50" t="s">
        <v>190</v>
      </c>
      <c r="P50">
        <v>1209</v>
      </c>
      <c r="Q50" s="1">
        <v>43639.916666666664</v>
      </c>
      <c r="R50" s="1">
        <v>43643.916666666664</v>
      </c>
      <c r="S50" t="s">
        <v>131</v>
      </c>
      <c r="T50" t="s">
        <v>41</v>
      </c>
      <c r="U50" t="s">
        <v>38</v>
      </c>
      <c r="V50" t="s">
        <v>39</v>
      </c>
      <c r="W50">
        <v>4</v>
      </c>
      <c r="X50">
        <v>1</v>
      </c>
      <c r="Y50" t="b">
        <v>0</v>
      </c>
      <c r="Z50" t="s">
        <v>185</v>
      </c>
      <c r="AA50" t="s">
        <v>41</v>
      </c>
      <c r="AB50" s="1">
        <v>44039.916666666664</v>
      </c>
      <c r="AC50" t="s">
        <v>42</v>
      </c>
      <c r="AD50" t="s">
        <v>43</v>
      </c>
    </row>
    <row r="51" spans="1:30" x14ac:dyDescent="0.3">
      <c r="A51">
        <v>99255</v>
      </c>
      <c r="B51" t="s">
        <v>192</v>
      </c>
      <c r="C51" t="s">
        <v>109</v>
      </c>
      <c r="D51" t="s">
        <v>110</v>
      </c>
      <c r="E51" t="s">
        <v>111</v>
      </c>
      <c r="I51" t="s">
        <v>172</v>
      </c>
      <c r="J51" t="s">
        <v>173</v>
      </c>
      <c r="K51" t="s">
        <v>189</v>
      </c>
      <c r="L51" t="s">
        <v>566</v>
      </c>
      <c r="M51" t="e" cm="1">
        <f t="array" ref="M51">Convert_Decimal(L51)</f>
        <v>#VALUE!</v>
      </c>
      <c r="N51" t="s">
        <v>190</v>
      </c>
      <c r="P51">
        <v>1209</v>
      </c>
      <c r="Q51" s="1">
        <v>43639.916666666664</v>
      </c>
      <c r="R51" s="1">
        <v>43643.916666666664</v>
      </c>
      <c r="S51" t="s">
        <v>131</v>
      </c>
      <c r="T51" t="s">
        <v>41</v>
      </c>
      <c r="U51" t="s">
        <v>38</v>
      </c>
      <c r="V51" t="s">
        <v>39</v>
      </c>
      <c r="W51">
        <v>2</v>
      </c>
      <c r="X51">
        <v>2</v>
      </c>
      <c r="Y51" t="b">
        <v>0</v>
      </c>
      <c r="Z51" t="s">
        <v>185</v>
      </c>
      <c r="AA51" t="s">
        <v>41</v>
      </c>
      <c r="AB51" s="1">
        <v>44039.916666666664</v>
      </c>
      <c r="AC51" t="s">
        <v>42</v>
      </c>
      <c r="AD51" t="s">
        <v>43</v>
      </c>
    </row>
    <row r="52" spans="1:30" x14ac:dyDescent="0.3">
      <c r="A52">
        <v>99026</v>
      </c>
      <c r="B52" t="s">
        <v>193</v>
      </c>
      <c r="C52" t="s">
        <v>109</v>
      </c>
      <c r="D52" t="s">
        <v>110</v>
      </c>
      <c r="E52" t="s">
        <v>111</v>
      </c>
      <c r="I52" t="s">
        <v>172</v>
      </c>
      <c r="J52" t="s">
        <v>173</v>
      </c>
      <c r="K52" t="s">
        <v>194</v>
      </c>
      <c r="L52" t="s">
        <v>567</v>
      </c>
      <c r="M52" t="e" cm="1">
        <f t="array" ref="M52">Convert_Decimal(L52)</f>
        <v>#VALUE!</v>
      </c>
      <c r="N52" t="s">
        <v>195</v>
      </c>
      <c r="P52">
        <v>1208</v>
      </c>
      <c r="Q52" s="1">
        <v>43643.916666666664</v>
      </c>
      <c r="R52" s="1">
        <v>43643.916666666664</v>
      </c>
      <c r="S52" t="s">
        <v>49</v>
      </c>
      <c r="T52" t="s">
        <v>196</v>
      </c>
      <c r="U52" t="s">
        <v>38</v>
      </c>
      <c r="V52" t="s">
        <v>39</v>
      </c>
      <c r="W52">
        <v>1</v>
      </c>
      <c r="X52">
        <v>0</v>
      </c>
      <c r="Y52" t="b">
        <v>0</v>
      </c>
      <c r="Z52" t="s">
        <v>123</v>
      </c>
      <c r="AA52" t="s">
        <v>41</v>
      </c>
      <c r="AB52" s="1">
        <v>44032.916666666664</v>
      </c>
      <c r="AC52" t="s">
        <v>42</v>
      </c>
      <c r="AD52" t="s">
        <v>43</v>
      </c>
    </row>
    <row r="53" spans="1:30" x14ac:dyDescent="0.3">
      <c r="A53">
        <v>99270</v>
      </c>
      <c r="B53" t="s">
        <v>197</v>
      </c>
      <c r="C53" t="s">
        <v>109</v>
      </c>
      <c r="D53" t="s">
        <v>110</v>
      </c>
      <c r="E53" t="s">
        <v>111</v>
      </c>
      <c r="I53" t="s">
        <v>172</v>
      </c>
      <c r="J53" t="s">
        <v>173</v>
      </c>
      <c r="K53" t="s">
        <v>194</v>
      </c>
      <c r="L53" t="s">
        <v>567</v>
      </c>
      <c r="M53" t="e" cm="1">
        <f t="array" ref="M53">Convert_Decimal(L53)</f>
        <v>#VALUE!</v>
      </c>
      <c r="N53" t="s">
        <v>195</v>
      </c>
      <c r="P53">
        <v>1208</v>
      </c>
      <c r="Q53" s="1">
        <v>43639.916666666664</v>
      </c>
      <c r="R53" s="1">
        <v>43643.916666666664</v>
      </c>
      <c r="S53" t="s">
        <v>128</v>
      </c>
      <c r="T53" t="s">
        <v>41</v>
      </c>
      <c r="U53" t="s">
        <v>38</v>
      </c>
      <c r="V53" t="s">
        <v>39</v>
      </c>
      <c r="W53">
        <v>3</v>
      </c>
      <c r="X53">
        <v>0</v>
      </c>
      <c r="Y53" t="b">
        <v>0</v>
      </c>
      <c r="Z53" t="s">
        <v>185</v>
      </c>
      <c r="AA53" t="s">
        <v>41</v>
      </c>
      <c r="AB53" s="1">
        <v>44039.916666666664</v>
      </c>
      <c r="AC53" t="s">
        <v>42</v>
      </c>
      <c r="AD53" t="s">
        <v>43</v>
      </c>
    </row>
    <row r="54" spans="1:30" x14ac:dyDescent="0.3">
      <c r="A54">
        <v>99256</v>
      </c>
      <c r="B54" t="s">
        <v>197</v>
      </c>
      <c r="C54" t="s">
        <v>109</v>
      </c>
      <c r="D54" t="s">
        <v>110</v>
      </c>
      <c r="E54" t="s">
        <v>111</v>
      </c>
      <c r="I54" t="s">
        <v>172</v>
      </c>
      <c r="J54" t="s">
        <v>173</v>
      </c>
      <c r="K54" t="s">
        <v>194</v>
      </c>
      <c r="L54" t="s">
        <v>567</v>
      </c>
      <c r="M54" t="e" cm="1">
        <f t="array" ref="M54">Convert_Decimal(L54)</f>
        <v>#VALUE!</v>
      </c>
      <c r="N54" t="s">
        <v>195</v>
      </c>
      <c r="P54">
        <v>1208</v>
      </c>
      <c r="Q54" s="1">
        <v>43639.916666666664</v>
      </c>
      <c r="R54" s="1">
        <v>43643.916666666664</v>
      </c>
      <c r="S54" t="s">
        <v>128</v>
      </c>
      <c r="T54" t="s">
        <v>41</v>
      </c>
      <c r="U54" t="s">
        <v>38</v>
      </c>
      <c r="V54" t="s">
        <v>39</v>
      </c>
      <c r="W54">
        <v>1</v>
      </c>
      <c r="X54">
        <v>1</v>
      </c>
      <c r="Y54" t="b">
        <v>0</v>
      </c>
      <c r="Z54" t="s">
        <v>185</v>
      </c>
      <c r="AA54" t="s">
        <v>41</v>
      </c>
      <c r="AB54" s="1">
        <v>44039.916666666664</v>
      </c>
      <c r="AC54" t="s">
        <v>42</v>
      </c>
      <c r="AD54" t="s">
        <v>43</v>
      </c>
    </row>
    <row r="55" spans="1:30" x14ac:dyDescent="0.3">
      <c r="A55">
        <v>99268</v>
      </c>
      <c r="B55" t="s">
        <v>198</v>
      </c>
      <c r="C55" t="s">
        <v>109</v>
      </c>
      <c r="D55" t="s">
        <v>110</v>
      </c>
      <c r="E55" t="s">
        <v>111</v>
      </c>
      <c r="I55" t="s">
        <v>172</v>
      </c>
      <c r="J55" t="s">
        <v>173</v>
      </c>
      <c r="K55" t="s">
        <v>194</v>
      </c>
      <c r="L55" t="s">
        <v>567</v>
      </c>
      <c r="M55" t="e" cm="1">
        <f t="array" ref="M55">Convert_Decimal(L55)</f>
        <v>#VALUE!</v>
      </c>
      <c r="N55" t="s">
        <v>195</v>
      </c>
      <c r="P55">
        <v>1208</v>
      </c>
      <c r="Q55" s="1">
        <v>43639.916666666664</v>
      </c>
      <c r="R55" s="1">
        <v>43643.916666666664</v>
      </c>
      <c r="S55" t="s">
        <v>131</v>
      </c>
      <c r="T55" t="s">
        <v>41</v>
      </c>
      <c r="U55" t="s">
        <v>38</v>
      </c>
      <c r="V55" t="s">
        <v>39</v>
      </c>
      <c r="W55">
        <v>3</v>
      </c>
      <c r="X55">
        <v>2</v>
      </c>
      <c r="Y55" t="b">
        <v>0</v>
      </c>
      <c r="Z55" t="s">
        <v>185</v>
      </c>
      <c r="AA55" t="s">
        <v>41</v>
      </c>
      <c r="AB55" s="1">
        <v>44039.916666666664</v>
      </c>
      <c r="AC55" t="s">
        <v>42</v>
      </c>
      <c r="AD55" t="s">
        <v>43</v>
      </c>
    </row>
    <row r="56" spans="1:30" x14ac:dyDescent="0.3">
      <c r="A56">
        <v>99267</v>
      </c>
      <c r="B56" t="s">
        <v>198</v>
      </c>
      <c r="C56" t="s">
        <v>109</v>
      </c>
      <c r="D56" t="s">
        <v>110</v>
      </c>
      <c r="E56" t="s">
        <v>111</v>
      </c>
      <c r="I56" t="s">
        <v>172</v>
      </c>
      <c r="J56" t="s">
        <v>173</v>
      </c>
      <c r="K56" t="s">
        <v>194</v>
      </c>
      <c r="L56" t="s">
        <v>567</v>
      </c>
      <c r="M56" t="e" cm="1">
        <f t="array" ref="M56">Convert_Decimal(L56)</f>
        <v>#VALUE!</v>
      </c>
      <c r="N56" t="s">
        <v>195</v>
      </c>
      <c r="P56">
        <v>1208</v>
      </c>
      <c r="Q56" s="1">
        <v>43639.916666666664</v>
      </c>
      <c r="R56" s="1">
        <v>43643.916666666664</v>
      </c>
      <c r="S56" t="s">
        <v>131</v>
      </c>
      <c r="T56" t="s">
        <v>41</v>
      </c>
      <c r="U56" t="s">
        <v>38</v>
      </c>
      <c r="V56" t="s">
        <v>39</v>
      </c>
      <c r="W56">
        <v>1</v>
      </c>
      <c r="X56">
        <v>1</v>
      </c>
      <c r="Y56" t="b">
        <v>0</v>
      </c>
      <c r="Z56" t="s">
        <v>185</v>
      </c>
      <c r="AA56" t="s">
        <v>41</v>
      </c>
      <c r="AB56" s="1">
        <v>44039.916666666664</v>
      </c>
      <c r="AC56" t="s">
        <v>42</v>
      </c>
      <c r="AD56" t="s">
        <v>43</v>
      </c>
    </row>
    <row r="57" spans="1:30" x14ac:dyDescent="0.3">
      <c r="A57">
        <v>99265</v>
      </c>
      <c r="B57" t="s">
        <v>198</v>
      </c>
      <c r="C57" t="s">
        <v>109</v>
      </c>
      <c r="D57" t="s">
        <v>110</v>
      </c>
      <c r="E57" t="s">
        <v>111</v>
      </c>
      <c r="I57" t="s">
        <v>172</v>
      </c>
      <c r="J57" t="s">
        <v>173</v>
      </c>
      <c r="K57" t="s">
        <v>194</v>
      </c>
      <c r="L57" t="s">
        <v>567</v>
      </c>
      <c r="M57" t="e" cm="1">
        <f t="array" ref="M57">Convert_Decimal(L57)</f>
        <v>#VALUE!</v>
      </c>
      <c r="N57" t="s">
        <v>195</v>
      </c>
      <c r="P57">
        <v>1208</v>
      </c>
      <c r="Q57" s="1">
        <v>43639.916666666664</v>
      </c>
      <c r="R57" s="1">
        <v>43643.916666666664</v>
      </c>
      <c r="S57" t="s">
        <v>131</v>
      </c>
      <c r="T57" t="s">
        <v>41</v>
      </c>
      <c r="U57" t="s">
        <v>38</v>
      </c>
      <c r="V57" t="s">
        <v>39</v>
      </c>
      <c r="W57">
        <v>1</v>
      </c>
      <c r="X57">
        <v>4</v>
      </c>
      <c r="Y57" t="b">
        <v>0</v>
      </c>
      <c r="Z57" t="s">
        <v>185</v>
      </c>
      <c r="AA57" t="s">
        <v>41</v>
      </c>
      <c r="AB57" s="1">
        <v>44039.916666666664</v>
      </c>
      <c r="AC57" t="s">
        <v>42</v>
      </c>
      <c r="AD57" t="s">
        <v>43</v>
      </c>
    </row>
    <row r="58" spans="1:30" x14ac:dyDescent="0.3">
      <c r="A58">
        <v>99257</v>
      </c>
      <c r="B58" t="s">
        <v>198</v>
      </c>
      <c r="C58" t="s">
        <v>109</v>
      </c>
      <c r="D58" t="s">
        <v>110</v>
      </c>
      <c r="E58" t="s">
        <v>111</v>
      </c>
      <c r="I58" t="s">
        <v>172</v>
      </c>
      <c r="J58" t="s">
        <v>173</v>
      </c>
      <c r="K58" t="s">
        <v>194</v>
      </c>
      <c r="L58" t="s">
        <v>567</v>
      </c>
      <c r="M58" t="e" cm="1">
        <f t="array" ref="M58">Convert_Decimal(L58)</f>
        <v>#VALUE!</v>
      </c>
      <c r="N58" t="s">
        <v>195</v>
      </c>
      <c r="P58">
        <v>1208</v>
      </c>
      <c r="Q58" s="1">
        <v>43639.916666666664</v>
      </c>
      <c r="R58" s="1">
        <v>43643.916666666664</v>
      </c>
      <c r="S58" t="s">
        <v>131</v>
      </c>
      <c r="T58" t="s">
        <v>41</v>
      </c>
      <c r="U58" t="s">
        <v>38</v>
      </c>
      <c r="V58" t="s">
        <v>39</v>
      </c>
      <c r="W58">
        <v>0</v>
      </c>
      <c r="X58">
        <v>3</v>
      </c>
      <c r="Y58" t="b">
        <v>0</v>
      </c>
      <c r="Z58" t="s">
        <v>185</v>
      </c>
      <c r="AA58" t="s">
        <v>41</v>
      </c>
      <c r="AB58" s="1">
        <v>44039.916666666664</v>
      </c>
      <c r="AC58" t="s">
        <v>42</v>
      </c>
      <c r="AD58" t="s">
        <v>43</v>
      </c>
    </row>
    <row r="59" spans="1:30" x14ac:dyDescent="0.3">
      <c r="A59">
        <v>99266</v>
      </c>
      <c r="B59" t="s">
        <v>198</v>
      </c>
      <c r="C59" t="s">
        <v>109</v>
      </c>
      <c r="D59" t="s">
        <v>110</v>
      </c>
      <c r="E59" t="s">
        <v>111</v>
      </c>
      <c r="I59" t="s">
        <v>172</v>
      </c>
      <c r="J59" t="s">
        <v>173</v>
      </c>
      <c r="K59" t="s">
        <v>194</v>
      </c>
      <c r="L59" t="s">
        <v>567</v>
      </c>
      <c r="M59" t="e" cm="1">
        <f t="array" ref="M59">Convert_Decimal(L59)</f>
        <v>#VALUE!</v>
      </c>
      <c r="N59" t="s">
        <v>195</v>
      </c>
      <c r="P59">
        <v>1208</v>
      </c>
      <c r="Q59" s="1">
        <v>43639.916666666664</v>
      </c>
      <c r="R59" s="1">
        <v>43643.916666666664</v>
      </c>
      <c r="S59" t="s">
        <v>131</v>
      </c>
      <c r="T59" t="s">
        <v>41</v>
      </c>
      <c r="U59" t="s">
        <v>38</v>
      </c>
      <c r="V59" t="s">
        <v>39</v>
      </c>
      <c r="W59">
        <v>2</v>
      </c>
      <c r="X59">
        <v>3</v>
      </c>
      <c r="Y59" t="b">
        <v>0</v>
      </c>
      <c r="Z59" t="s">
        <v>185</v>
      </c>
      <c r="AA59" t="s">
        <v>41</v>
      </c>
      <c r="AB59" s="1">
        <v>44039.916666666664</v>
      </c>
      <c r="AC59" t="s">
        <v>42</v>
      </c>
      <c r="AD59" t="s">
        <v>43</v>
      </c>
    </row>
    <row r="60" spans="1:30" x14ac:dyDescent="0.3">
      <c r="A60">
        <v>99264</v>
      </c>
      <c r="B60" t="s">
        <v>198</v>
      </c>
      <c r="C60" t="s">
        <v>109</v>
      </c>
      <c r="D60" t="s">
        <v>110</v>
      </c>
      <c r="E60" t="s">
        <v>111</v>
      </c>
      <c r="I60" t="s">
        <v>172</v>
      </c>
      <c r="J60" t="s">
        <v>173</v>
      </c>
      <c r="K60" t="s">
        <v>194</v>
      </c>
      <c r="L60" t="s">
        <v>567</v>
      </c>
      <c r="M60" t="e" cm="1">
        <f t="array" ref="M60">Convert_Decimal(L60)</f>
        <v>#VALUE!</v>
      </c>
      <c r="N60" t="s">
        <v>195</v>
      </c>
      <c r="P60">
        <v>1208</v>
      </c>
      <c r="Q60" s="1">
        <v>43639.916666666664</v>
      </c>
      <c r="R60" s="1">
        <v>43643.916666666664</v>
      </c>
      <c r="S60" t="s">
        <v>131</v>
      </c>
      <c r="T60" t="s">
        <v>41</v>
      </c>
      <c r="U60" t="s">
        <v>38</v>
      </c>
      <c r="V60" t="s">
        <v>39</v>
      </c>
      <c r="W60">
        <v>3</v>
      </c>
      <c r="X60">
        <v>2</v>
      </c>
      <c r="Y60" t="b">
        <v>0</v>
      </c>
      <c r="Z60" t="s">
        <v>185</v>
      </c>
      <c r="AA60" t="s">
        <v>41</v>
      </c>
      <c r="AB60" s="1">
        <v>44039.916666666664</v>
      </c>
      <c r="AC60" t="s">
        <v>42</v>
      </c>
      <c r="AD60" t="s">
        <v>43</v>
      </c>
    </row>
    <row r="61" spans="1:30" x14ac:dyDescent="0.3">
      <c r="A61">
        <v>99260</v>
      </c>
      <c r="B61" t="s">
        <v>199</v>
      </c>
      <c r="C61" t="s">
        <v>109</v>
      </c>
      <c r="D61" t="s">
        <v>110</v>
      </c>
      <c r="E61" t="s">
        <v>111</v>
      </c>
      <c r="I61" t="s">
        <v>172</v>
      </c>
      <c r="J61" t="s">
        <v>173</v>
      </c>
      <c r="K61" t="s">
        <v>200</v>
      </c>
      <c r="L61" t="s">
        <v>568</v>
      </c>
      <c r="M61" cm="1">
        <f t="array" ref="M61">Convert_Decimal(L61)</f>
        <v>41.86</v>
      </c>
      <c r="N61" t="s">
        <v>201</v>
      </c>
      <c r="P61">
        <v>1244</v>
      </c>
      <c r="Q61" s="1">
        <v>43639.916666666664</v>
      </c>
      <c r="R61" s="1">
        <v>43643.916666666664</v>
      </c>
      <c r="S61" t="s">
        <v>128</v>
      </c>
      <c r="T61" t="s">
        <v>41</v>
      </c>
      <c r="U61" t="s">
        <v>38</v>
      </c>
      <c r="V61" t="s">
        <v>39</v>
      </c>
      <c r="W61">
        <v>4</v>
      </c>
      <c r="X61">
        <v>0</v>
      </c>
      <c r="Y61" t="b">
        <v>0</v>
      </c>
      <c r="Z61" t="s">
        <v>185</v>
      </c>
      <c r="AA61" t="s">
        <v>41</v>
      </c>
      <c r="AB61" s="1">
        <v>44039.916666666664</v>
      </c>
      <c r="AC61" t="s">
        <v>42</v>
      </c>
      <c r="AD61" t="s">
        <v>43</v>
      </c>
    </row>
    <row r="62" spans="1:30" x14ac:dyDescent="0.3">
      <c r="A62">
        <v>99258</v>
      </c>
      <c r="B62" t="s">
        <v>202</v>
      </c>
      <c r="C62" t="s">
        <v>109</v>
      </c>
      <c r="D62" t="s">
        <v>110</v>
      </c>
      <c r="E62" t="s">
        <v>111</v>
      </c>
      <c r="I62" t="s">
        <v>172</v>
      </c>
      <c r="J62" t="s">
        <v>173</v>
      </c>
      <c r="K62" t="s">
        <v>200</v>
      </c>
      <c r="L62" t="s">
        <v>568</v>
      </c>
      <c r="M62" cm="1">
        <f t="array" ref="M62">Convert_Decimal(L62)</f>
        <v>41.86</v>
      </c>
      <c r="N62" t="s">
        <v>201</v>
      </c>
      <c r="P62">
        <v>1244</v>
      </c>
      <c r="Q62" s="1">
        <v>43639.916666666664</v>
      </c>
      <c r="R62" s="1">
        <v>43643.916666666664</v>
      </c>
      <c r="S62" t="s">
        <v>128</v>
      </c>
      <c r="T62" t="s">
        <v>41</v>
      </c>
      <c r="U62" t="s">
        <v>38</v>
      </c>
      <c r="V62" t="s">
        <v>39</v>
      </c>
      <c r="W62">
        <v>0</v>
      </c>
      <c r="X62">
        <v>1</v>
      </c>
      <c r="Y62" t="b">
        <v>0</v>
      </c>
      <c r="Z62" t="s">
        <v>185</v>
      </c>
      <c r="AA62" t="s">
        <v>41</v>
      </c>
      <c r="AB62" s="1">
        <v>44039.916666666664</v>
      </c>
      <c r="AC62" t="s">
        <v>42</v>
      </c>
      <c r="AD62" t="s">
        <v>43</v>
      </c>
    </row>
    <row r="63" spans="1:30" x14ac:dyDescent="0.3">
      <c r="A63">
        <v>99259</v>
      </c>
      <c r="B63" t="s">
        <v>203</v>
      </c>
      <c r="C63" t="s">
        <v>109</v>
      </c>
      <c r="D63" t="s">
        <v>110</v>
      </c>
      <c r="E63" t="s">
        <v>111</v>
      </c>
      <c r="I63" t="s">
        <v>172</v>
      </c>
      <c r="J63" t="s">
        <v>173</v>
      </c>
      <c r="K63" t="s">
        <v>200</v>
      </c>
      <c r="L63" t="s">
        <v>568</v>
      </c>
      <c r="M63" cm="1">
        <f t="array" ref="M63">Convert_Decimal(L63)</f>
        <v>41.86</v>
      </c>
      <c r="N63" t="s">
        <v>201</v>
      </c>
      <c r="P63">
        <v>1244</v>
      </c>
      <c r="Q63" s="1">
        <v>43639.916666666664</v>
      </c>
      <c r="R63" s="1">
        <v>43643.916666666664</v>
      </c>
      <c r="S63" t="s">
        <v>131</v>
      </c>
      <c r="T63" t="s">
        <v>41</v>
      </c>
      <c r="U63" t="s">
        <v>38</v>
      </c>
      <c r="V63" t="s">
        <v>39</v>
      </c>
      <c r="W63">
        <v>4</v>
      </c>
      <c r="X63">
        <v>4</v>
      </c>
      <c r="Y63" t="b">
        <v>0</v>
      </c>
      <c r="Z63" t="s">
        <v>185</v>
      </c>
      <c r="AA63" t="s">
        <v>41</v>
      </c>
      <c r="AB63" s="1">
        <v>44039.916666666664</v>
      </c>
      <c r="AC63" t="s">
        <v>42</v>
      </c>
      <c r="AD63" t="s">
        <v>43</v>
      </c>
    </row>
    <row r="64" spans="1:30" x14ac:dyDescent="0.3">
      <c r="A64">
        <v>99262</v>
      </c>
      <c r="B64" t="s">
        <v>203</v>
      </c>
      <c r="C64" t="s">
        <v>109</v>
      </c>
      <c r="D64" t="s">
        <v>110</v>
      </c>
      <c r="E64" t="s">
        <v>111</v>
      </c>
      <c r="I64" t="s">
        <v>172</v>
      </c>
      <c r="J64" t="s">
        <v>173</v>
      </c>
      <c r="K64" t="s">
        <v>200</v>
      </c>
      <c r="L64" t="s">
        <v>568</v>
      </c>
      <c r="M64" cm="1">
        <f t="array" ref="M64">Convert_Decimal(L64)</f>
        <v>41.86</v>
      </c>
      <c r="N64" t="s">
        <v>201</v>
      </c>
      <c r="P64">
        <v>1244</v>
      </c>
      <c r="Q64" s="1">
        <v>43639.916666666664</v>
      </c>
      <c r="R64" s="1">
        <v>43643.916666666664</v>
      </c>
      <c r="S64" t="s">
        <v>131</v>
      </c>
      <c r="T64" t="s">
        <v>41</v>
      </c>
      <c r="U64" t="s">
        <v>38</v>
      </c>
      <c r="V64" t="s">
        <v>39</v>
      </c>
      <c r="W64">
        <v>3</v>
      </c>
      <c r="X64">
        <v>2</v>
      </c>
      <c r="Y64" t="b">
        <v>0</v>
      </c>
      <c r="Z64" t="s">
        <v>185</v>
      </c>
      <c r="AA64" t="s">
        <v>41</v>
      </c>
      <c r="AB64" s="1">
        <v>44039.916666666664</v>
      </c>
      <c r="AC64" t="s">
        <v>42</v>
      </c>
      <c r="AD64" t="s">
        <v>43</v>
      </c>
    </row>
    <row r="65" spans="1:31" x14ac:dyDescent="0.3">
      <c r="A65">
        <v>99263</v>
      </c>
      <c r="B65" t="s">
        <v>203</v>
      </c>
      <c r="C65" t="s">
        <v>109</v>
      </c>
      <c r="D65" t="s">
        <v>110</v>
      </c>
      <c r="E65" t="s">
        <v>111</v>
      </c>
      <c r="I65" t="s">
        <v>172</v>
      </c>
      <c r="J65" t="s">
        <v>173</v>
      </c>
      <c r="K65" t="s">
        <v>200</v>
      </c>
      <c r="L65" t="s">
        <v>568</v>
      </c>
      <c r="M65" cm="1">
        <f t="array" ref="M65">Convert_Decimal(L65)</f>
        <v>41.86</v>
      </c>
      <c r="N65" t="s">
        <v>201</v>
      </c>
      <c r="P65">
        <v>1244</v>
      </c>
      <c r="Q65" s="1">
        <v>43639.916666666664</v>
      </c>
      <c r="R65" s="1">
        <v>43643.916666666664</v>
      </c>
      <c r="S65" t="s">
        <v>131</v>
      </c>
      <c r="T65" t="s">
        <v>41</v>
      </c>
      <c r="U65" t="s">
        <v>38</v>
      </c>
      <c r="V65" t="s">
        <v>39</v>
      </c>
      <c r="W65">
        <v>3</v>
      </c>
      <c r="X65">
        <v>0</v>
      </c>
      <c r="Y65" t="b">
        <v>0</v>
      </c>
      <c r="Z65" t="s">
        <v>185</v>
      </c>
      <c r="AA65" t="s">
        <v>41</v>
      </c>
      <c r="AB65" s="1">
        <v>44039.916666666664</v>
      </c>
      <c r="AC65" t="s">
        <v>42</v>
      </c>
      <c r="AD65" t="s">
        <v>43</v>
      </c>
    </row>
    <row r="66" spans="1:31" x14ac:dyDescent="0.3">
      <c r="A66">
        <v>99666</v>
      </c>
      <c r="B66" t="s">
        <v>204</v>
      </c>
      <c r="C66" t="s">
        <v>109</v>
      </c>
      <c r="D66" t="s">
        <v>110</v>
      </c>
      <c r="E66" t="s">
        <v>111</v>
      </c>
      <c r="I66" t="s">
        <v>172</v>
      </c>
      <c r="J66" t="s">
        <v>173</v>
      </c>
      <c r="K66" t="s">
        <v>205</v>
      </c>
      <c r="L66" t="s">
        <v>569</v>
      </c>
      <c r="M66" cm="1">
        <f t="array" ref="M66">Convert_Decimal(L66)</f>
        <v>41.861388888888889</v>
      </c>
      <c r="N66" t="s">
        <v>206</v>
      </c>
      <c r="P66">
        <v>1188</v>
      </c>
      <c r="Q66" s="1">
        <v>43643.916666666664</v>
      </c>
      <c r="R66" s="1">
        <v>43643.916666666664</v>
      </c>
      <c r="S66" t="s">
        <v>49</v>
      </c>
      <c r="T66" t="s">
        <v>41</v>
      </c>
      <c r="U66" t="s">
        <v>38</v>
      </c>
      <c r="V66" t="s">
        <v>39</v>
      </c>
      <c r="W66">
        <v>0</v>
      </c>
      <c r="X66">
        <v>1</v>
      </c>
      <c r="Y66" t="b">
        <v>0</v>
      </c>
      <c r="Z66" t="s">
        <v>123</v>
      </c>
      <c r="AA66" t="s">
        <v>41</v>
      </c>
      <c r="AB66" s="1">
        <v>44032.916666666664</v>
      </c>
      <c r="AC66" t="s">
        <v>42</v>
      </c>
      <c r="AD66" t="s">
        <v>43</v>
      </c>
    </row>
    <row r="67" spans="1:31" x14ac:dyDescent="0.3">
      <c r="A67">
        <v>99261</v>
      </c>
      <c r="B67" t="s">
        <v>207</v>
      </c>
      <c r="C67" t="s">
        <v>109</v>
      </c>
      <c r="D67" t="s">
        <v>110</v>
      </c>
      <c r="E67" t="s">
        <v>111</v>
      </c>
      <c r="I67" t="s">
        <v>172</v>
      </c>
      <c r="J67" t="s">
        <v>173</v>
      </c>
      <c r="K67" t="s">
        <v>205</v>
      </c>
      <c r="L67" t="s">
        <v>569</v>
      </c>
      <c r="M67" cm="1">
        <f t="array" ref="M67">Convert_Decimal(L67)</f>
        <v>41.861388888888889</v>
      </c>
      <c r="N67" t="s">
        <v>208</v>
      </c>
      <c r="P67">
        <v>1231</v>
      </c>
      <c r="Q67" s="1">
        <v>43639.916666666664</v>
      </c>
      <c r="R67" s="1">
        <v>43643.916666666664</v>
      </c>
      <c r="S67" t="s">
        <v>131</v>
      </c>
      <c r="T67" t="s">
        <v>41</v>
      </c>
      <c r="U67" t="s">
        <v>38</v>
      </c>
      <c r="V67" t="s">
        <v>39</v>
      </c>
      <c r="W67">
        <v>2</v>
      </c>
      <c r="X67">
        <v>3</v>
      </c>
      <c r="Y67" t="b">
        <v>0</v>
      </c>
      <c r="Z67" t="s">
        <v>185</v>
      </c>
      <c r="AA67" t="s">
        <v>41</v>
      </c>
      <c r="AB67" s="1">
        <v>44039.916666666664</v>
      </c>
      <c r="AC67" t="s">
        <v>42</v>
      </c>
      <c r="AD67" t="s">
        <v>43</v>
      </c>
    </row>
    <row r="68" spans="1:31" x14ac:dyDescent="0.3">
      <c r="A68">
        <v>118397</v>
      </c>
      <c r="B68" t="s">
        <v>209</v>
      </c>
      <c r="C68" t="s">
        <v>210</v>
      </c>
      <c r="D68" t="s">
        <v>211</v>
      </c>
      <c r="E68" t="s">
        <v>212</v>
      </c>
      <c r="H68" t="s">
        <v>33</v>
      </c>
      <c r="I68" t="s">
        <v>213</v>
      </c>
      <c r="J68" t="s">
        <v>214</v>
      </c>
      <c r="K68" t="s">
        <v>215</v>
      </c>
      <c r="L68" t="s">
        <v>570</v>
      </c>
      <c r="M68" t="e" cm="1">
        <f t="array" ref="M68">Convert_Decimal(L68)</f>
        <v>#VALUE!</v>
      </c>
      <c r="N68" t="s">
        <v>216</v>
      </c>
      <c r="P68">
        <v>592</v>
      </c>
      <c r="Q68" s="1">
        <v>38824.916666666664</v>
      </c>
      <c r="R68" s="1">
        <v>38838.916666666664</v>
      </c>
      <c r="S68" t="s">
        <v>116</v>
      </c>
      <c r="T68" t="s">
        <v>217</v>
      </c>
      <c r="U68" t="s">
        <v>38</v>
      </c>
      <c r="V68" t="s">
        <v>39</v>
      </c>
      <c r="W68">
        <v>1</v>
      </c>
      <c r="X68">
        <v>0</v>
      </c>
      <c r="Y68" t="b">
        <v>0</v>
      </c>
      <c r="Z68" t="s">
        <v>218</v>
      </c>
      <c r="AA68" t="s">
        <v>41</v>
      </c>
      <c r="AB68" s="1">
        <v>41454.916666666664</v>
      </c>
      <c r="AC68" t="s">
        <v>42</v>
      </c>
      <c r="AD68" t="s">
        <v>43</v>
      </c>
    </row>
    <row r="69" spans="1:31" x14ac:dyDescent="0.3">
      <c r="A69">
        <v>118405</v>
      </c>
      <c r="B69" t="s">
        <v>219</v>
      </c>
      <c r="C69" t="s">
        <v>210</v>
      </c>
      <c r="D69" t="s">
        <v>211</v>
      </c>
      <c r="E69" t="s">
        <v>212</v>
      </c>
      <c r="H69" t="s">
        <v>33</v>
      </c>
      <c r="I69" t="s">
        <v>220</v>
      </c>
      <c r="J69" t="s">
        <v>221</v>
      </c>
      <c r="K69" t="s">
        <v>222</v>
      </c>
      <c r="L69" t="s">
        <v>571</v>
      </c>
      <c r="M69" t="e" cm="1">
        <f t="array" ref="M69">Convert_Decimal(L69)</f>
        <v>#VALUE!</v>
      </c>
      <c r="N69" t="s">
        <v>223</v>
      </c>
      <c r="P69">
        <v>480</v>
      </c>
      <c r="Q69" s="1">
        <v>38251.916666666664</v>
      </c>
      <c r="R69" s="1">
        <v>38254.916666666664</v>
      </c>
      <c r="S69" t="s">
        <v>116</v>
      </c>
      <c r="T69" t="s">
        <v>224</v>
      </c>
      <c r="U69" t="s">
        <v>38</v>
      </c>
      <c r="V69" t="s">
        <v>39</v>
      </c>
      <c r="W69">
        <v>3</v>
      </c>
      <c r="X69">
        <v>2</v>
      </c>
      <c r="Y69" t="b">
        <v>0</v>
      </c>
      <c r="Z69" t="s">
        <v>225</v>
      </c>
      <c r="AA69" t="s">
        <v>41</v>
      </c>
      <c r="AB69" s="1">
        <v>41454.916666666664</v>
      </c>
      <c r="AC69" t="s">
        <v>42</v>
      </c>
      <c r="AD69" t="s">
        <v>43</v>
      </c>
    </row>
    <row r="70" spans="1:31" x14ac:dyDescent="0.3">
      <c r="A70">
        <v>118375</v>
      </c>
      <c r="B70" t="s">
        <v>226</v>
      </c>
      <c r="C70" t="s">
        <v>210</v>
      </c>
      <c r="D70" t="s">
        <v>211</v>
      </c>
      <c r="E70" t="s">
        <v>212</v>
      </c>
      <c r="H70" t="s">
        <v>33</v>
      </c>
      <c r="I70" t="s">
        <v>220</v>
      </c>
      <c r="J70" t="s">
        <v>227</v>
      </c>
      <c r="K70" t="s">
        <v>228</v>
      </c>
      <c r="L70" t="s">
        <v>572</v>
      </c>
      <c r="M70" t="e" cm="1">
        <f t="array" ref="M70">Convert_Decimal(L70)</f>
        <v>#VALUE!</v>
      </c>
      <c r="N70" t="s">
        <v>229</v>
      </c>
      <c r="P70">
        <v>636</v>
      </c>
      <c r="Q70" s="1">
        <v>38824.916666666664</v>
      </c>
      <c r="R70" s="1">
        <v>38838.916666666664</v>
      </c>
      <c r="S70" t="s">
        <v>116</v>
      </c>
      <c r="T70" t="s">
        <v>217</v>
      </c>
      <c r="U70" t="s">
        <v>38</v>
      </c>
      <c r="V70" t="s">
        <v>39</v>
      </c>
      <c r="W70">
        <v>2</v>
      </c>
      <c r="X70">
        <v>0</v>
      </c>
      <c r="Y70" t="b">
        <v>0</v>
      </c>
      <c r="Z70" t="s">
        <v>230</v>
      </c>
      <c r="AA70" t="s">
        <v>41</v>
      </c>
      <c r="AB70" s="1">
        <v>41454.916666666664</v>
      </c>
      <c r="AC70" t="s">
        <v>42</v>
      </c>
      <c r="AD70" t="s">
        <v>43</v>
      </c>
    </row>
    <row r="71" spans="1:31" x14ac:dyDescent="0.3">
      <c r="A71">
        <v>118404</v>
      </c>
      <c r="B71" t="s">
        <v>231</v>
      </c>
      <c r="C71" t="s">
        <v>210</v>
      </c>
      <c r="D71" t="s">
        <v>211</v>
      </c>
      <c r="E71" t="s">
        <v>212</v>
      </c>
      <c r="H71" t="s">
        <v>33</v>
      </c>
      <c r="I71" t="s">
        <v>220</v>
      </c>
      <c r="J71" t="s">
        <v>227</v>
      </c>
      <c r="K71" t="s">
        <v>228</v>
      </c>
      <c r="L71" t="s">
        <v>572</v>
      </c>
      <c r="M71" t="e" cm="1">
        <f t="array" ref="M71">Convert_Decimal(L71)</f>
        <v>#VALUE!</v>
      </c>
      <c r="N71" t="s">
        <v>229</v>
      </c>
      <c r="P71">
        <v>636</v>
      </c>
      <c r="Q71" s="1">
        <v>38838.916666666664</v>
      </c>
      <c r="R71" s="1">
        <v>38852.916666666664</v>
      </c>
      <c r="S71" t="s">
        <v>116</v>
      </c>
      <c r="T71" t="s">
        <v>217</v>
      </c>
      <c r="U71" t="s">
        <v>38</v>
      </c>
      <c r="V71" t="s">
        <v>39</v>
      </c>
      <c r="W71">
        <v>1</v>
      </c>
      <c r="X71">
        <v>0</v>
      </c>
      <c r="Y71" t="b">
        <v>0</v>
      </c>
      <c r="Z71" t="s">
        <v>232</v>
      </c>
      <c r="AA71" t="s">
        <v>41</v>
      </c>
      <c r="AB71" s="1">
        <v>41454.916666666664</v>
      </c>
      <c r="AC71" t="s">
        <v>42</v>
      </c>
      <c r="AD71" t="s">
        <v>43</v>
      </c>
      <c r="AE71" t="s">
        <v>233</v>
      </c>
    </row>
    <row r="72" spans="1:31" x14ac:dyDescent="0.3">
      <c r="A72">
        <v>119101</v>
      </c>
      <c r="B72" t="s">
        <v>234</v>
      </c>
      <c r="C72" t="s">
        <v>210</v>
      </c>
      <c r="D72" t="s">
        <v>211</v>
      </c>
      <c r="E72" t="s">
        <v>212</v>
      </c>
      <c r="H72" t="s">
        <v>33</v>
      </c>
      <c r="I72" t="s">
        <v>220</v>
      </c>
      <c r="J72" t="s">
        <v>227</v>
      </c>
      <c r="K72" t="s">
        <v>235</v>
      </c>
      <c r="L72" t="s">
        <v>572</v>
      </c>
      <c r="M72" t="e" cm="1">
        <f t="array" ref="M72">Convert_Decimal(L72)</f>
        <v>#VALUE!</v>
      </c>
      <c r="N72" t="s">
        <v>229</v>
      </c>
      <c r="P72">
        <v>636</v>
      </c>
      <c r="Q72" s="1">
        <v>38866.916666666664</v>
      </c>
      <c r="R72" s="1">
        <v>38880.916666666664</v>
      </c>
      <c r="S72" t="s">
        <v>116</v>
      </c>
      <c r="T72" t="s">
        <v>217</v>
      </c>
      <c r="U72" t="s">
        <v>38</v>
      </c>
      <c r="V72" t="s">
        <v>39</v>
      </c>
      <c r="W72">
        <v>1</v>
      </c>
      <c r="X72">
        <v>1</v>
      </c>
      <c r="Y72" t="b">
        <v>0</v>
      </c>
      <c r="Z72" t="s">
        <v>236</v>
      </c>
      <c r="AA72" t="s">
        <v>41</v>
      </c>
      <c r="AB72" s="1">
        <v>41454.916666666664</v>
      </c>
      <c r="AC72" t="s">
        <v>42</v>
      </c>
      <c r="AD72" t="s">
        <v>43</v>
      </c>
    </row>
    <row r="73" spans="1:31" x14ac:dyDescent="0.3">
      <c r="A73">
        <v>98187</v>
      </c>
      <c r="B73" t="s">
        <v>237</v>
      </c>
      <c r="C73" t="s">
        <v>184</v>
      </c>
      <c r="E73" t="s">
        <v>238</v>
      </c>
      <c r="F73" t="s">
        <v>239</v>
      </c>
      <c r="G73" t="s">
        <v>240</v>
      </c>
      <c r="H73" t="s">
        <v>241</v>
      </c>
      <c r="I73" t="s">
        <v>242</v>
      </c>
      <c r="J73" t="s">
        <v>33</v>
      </c>
      <c r="K73" t="s">
        <v>33</v>
      </c>
      <c r="L73" t="s">
        <v>573</v>
      </c>
      <c r="M73" cm="1">
        <f t="array" ref="M73">Convert_Decimal(L73)</f>
        <v>39.520000000000003</v>
      </c>
      <c r="N73" t="s">
        <v>243</v>
      </c>
      <c r="P73">
        <v>610</v>
      </c>
      <c r="R73" s="1">
        <v>42076.958333333336</v>
      </c>
      <c r="S73" t="s">
        <v>36</v>
      </c>
      <c r="T73" t="s">
        <v>37</v>
      </c>
      <c r="U73" t="s">
        <v>38</v>
      </c>
      <c r="V73" t="s">
        <v>39</v>
      </c>
      <c r="W73">
        <v>5</v>
      </c>
      <c r="X73">
        <v>1</v>
      </c>
      <c r="Y73" t="b">
        <v>0</v>
      </c>
      <c r="Z73" t="s">
        <v>244</v>
      </c>
      <c r="AA73" t="s">
        <v>41</v>
      </c>
      <c r="AB73" s="1">
        <v>43255.916666666664</v>
      </c>
      <c r="AC73" t="s">
        <v>42</v>
      </c>
      <c r="AD73" t="s">
        <v>43</v>
      </c>
    </row>
    <row r="74" spans="1:31" x14ac:dyDescent="0.3">
      <c r="A74">
        <v>97164</v>
      </c>
      <c r="B74" t="s">
        <v>245</v>
      </c>
      <c r="C74" t="s">
        <v>184</v>
      </c>
      <c r="E74" t="s">
        <v>246</v>
      </c>
      <c r="F74" t="s">
        <v>247</v>
      </c>
      <c r="G74" t="s">
        <v>248</v>
      </c>
      <c r="H74" t="s">
        <v>249</v>
      </c>
      <c r="I74" t="s">
        <v>250</v>
      </c>
      <c r="J74" t="s">
        <v>33</v>
      </c>
      <c r="K74" t="s">
        <v>33</v>
      </c>
      <c r="L74" t="s">
        <v>574</v>
      </c>
      <c r="M74" cm="1">
        <f t="array" ref="M74">Convert_Decimal(L74)</f>
        <v>40.481666666666669</v>
      </c>
      <c r="N74" t="s">
        <v>251</v>
      </c>
      <c r="P74">
        <v>855</v>
      </c>
      <c r="R74" s="1">
        <v>41388.916666666664</v>
      </c>
      <c r="S74" t="s">
        <v>36</v>
      </c>
      <c r="T74" t="s">
        <v>37</v>
      </c>
      <c r="U74" t="s">
        <v>38</v>
      </c>
      <c r="V74" t="s">
        <v>39</v>
      </c>
      <c r="W74">
        <v>1</v>
      </c>
      <c r="X74">
        <v>0</v>
      </c>
      <c r="Y74" t="b">
        <v>0</v>
      </c>
      <c r="Z74" t="s">
        <v>252</v>
      </c>
      <c r="AA74" t="s">
        <v>41</v>
      </c>
      <c r="AB74" s="1">
        <v>42765.958333333336</v>
      </c>
      <c r="AC74" t="s">
        <v>42</v>
      </c>
      <c r="AD74" t="s">
        <v>43</v>
      </c>
      <c r="AE74" t="s">
        <v>253</v>
      </c>
    </row>
    <row r="75" spans="1:31" x14ac:dyDescent="0.3">
      <c r="A75">
        <v>97252</v>
      </c>
      <c r="B75" t="s">
        <v>254</v>
      </c>
      <c r="C75" t="s">
        <v>184</v>
      </c>
      <c r="E75" t="s">
        <v>246</v>
      </c>
      <c r="F75" t="s">
        <v>247</v>
      </c>
      <c r="G75" t="s">
        <v>248</v>
      </c>
      <c r="H75" t="s">
        <v>255</v>
      </c>
      <c r="I75" t="s">
        <v>256</v>
      </c>
      <c r="J75" t="s">
        <v>257</v>
      </c>
      <c r="K75" t="s">
        <v>33</v>
      </c>
      <c r="L75" t="s">
        <v>575</v>
      </c>
      <c r="M75" cm="1">
        <f t="array" ref="M75">Convert_Decimal(L75)</f>
        <v>41.462777777777781</v>
      </c>
      <c r="N75" t="s">
        <v>258</v>
      </c>
      <c r="P75">
        <v>890</v>
      </c>
      <c r="R75" s="1">
        <v>41884.916666666664</v>
      </c>
      <c r="S75" t="s">
        <v>36</v>
      </c>
      <c r="T75" t="s">
        <v>259</v>
      </c>
      <c r="U75" t="s">
        <v>38</v>
      </c>
      <c r="V75" t="s">
        <v>39</v>
      </c>
      <c r="W75">
        <v>0</v>
      </c>
      <c r="X75">
        <v>1</v>
      </c>
      <c r="Y75" t="b">
        <v>0</v>
      </c>
      <c r="Z75" t="s">
        <v>260</v>
      </c>
      <c r="AA75" t="s">
        <v>41</v>
      </c>
      <c r="AB75" s="1">
        <v>42765.958333333336</v>
      </c>
      <c r="AC75" t="s">
        <v>42</v>
      </c>
      <c r="AD75" t="s">
        <v>43</v>
      </c>
      <c r="AE75" t="s">
        <v>261</v>
      </c>
    </row>
    <row r="76" spans="1:31" x14ac:dyDescent="0.3">
      <c r="A76">
        <v>97263</v>
      </c>
      <c r="B76" t="s">
        <v>262</v>
      </c>
      <c r="C76" t="s">
        <v>184</v>
      </c>
      <c r="E76" t="s">
        <v>246</v>
      </c>
      <c r="F76" t="s">
        <v>247</v>
      </c>
      <c r="G76" t="s">
        <v>248</v>
      </c>
      <c r="H76" t="s">
        <v>255</v>
      </c>
      <c r="I76" t="s">
        <v>263</v>
      </c>
      <c r="J76" t="s">
        <v>264</v>
      </c>
      <c r="K76" t="s">
        <v>33</v>
      </c>
      <c r="L76" t="s">
        <v>576</v>
      </c>
      <c r="M76" cm="1">
        <f t="array" ref="M76">Convert_Decimal(L76)</f>
        <v>40.500833333333333</v>
      </c>
      <c r="N76" t="s">
        <v>265</v>
      </c>
      <c r="P76">
        <v>1600</v>
      </c>
      <c r="R76" s="1">
        <v>41537.916666666664</v>
      </c>
      <c r="S76" t="s">
        <v>36</v>
      </c>
      <c r="T76" t="s">
        <v>37</v>
      </c>
      <c r="U76" t="s">
        <v>38</v>
      </c>
      <c r="V76" t="s">
        <v>39</v>
      </c>
      <c r="W76">
        <v>1</v>
      </c>
      <c r="X76">
        <v>0</v>
      </c>
      <c r="Y76" t="b">
        <v>0</v>
      </c>
      <c r="Z76" t="s">
        <v>266</v>
      </c>
      <c r="AA76" t="s">
        <v>41</v>
      </c>
      <c r="AB76" s="1">
        <v>42765.958333333336</v>
      </c>
      <c r="AC76" t="s">
        <v>42</v>
      </c>
      <c r="AD76" t="s">
        <v>43</v>
      </c>
      <c r="AE76" t="s">
        <v>253</v>
      </c>
    </row>
    <row r="77" spans="1:31" x14ac:dyDescent="0.3">
      <c r="A77">
        <v>97113</v>
      </c>
      <c r="B77" t="s">
        <v>267</v>
      </c>
      <c r="C77" t="s">
        <v>184</v>
      </c>
      <c r="E77" t="s">
        <v>268</v>
      </c>
      <c r="F77" t="s">
        <v>269</v>
      </c>
      <c r="G77" t="s">
        <v>270</v>
      </c>
      <c r="H77" t="s">
        <v>270</v>
      </c>
      <c r="I77" t="s">
        <v>271</v>
      </c>
      <c r="J77" t="s">
        <v>272</v>
      </c>
      <c r="K77" t="s">
        <v>33</v>
      </c>
      <c r="L77" t="s">
        <v>577</v>
      </c>
      <c r="M77" cm="1">
        <f t="array" ref="M77">Convert_Decimal(L77)</f>
        <v>40.255555555555553</v>
      </c>
      <c r="N77" t="s">
        <v>273</v>
      </c>
      <c r="P77">
        <v>85</v>
      </c>
      <c r="R77" s="1">
        <v>41402.916666666664</v>
      </c>
      <c r="S77" t="s">
        <v>49</v>
      </c>
      <c r="T77" t="s">
        <v>259</v>
      </c>
      <c r="U77" t="s">
        <v>38</v>
      </c>
      <c r="V77" t="s">
        <v>39</v>
      </c>
      <c r="W77">
        <v>0</v>
      </c>
      <c r="X77">
        <v>1</v>
      </c>
      <c r="Y77" t="b">
        <v>0</v>
      </c>
      <c r="Z77" t="s">
        <v>260</v>
      </c>
      <c r="AA77" t="s">
        <v>41</v>
      </c>
      <c r="AB77" s="1">
        <v>42765.958333333336</v>
      </c>
      <c r="AC77" t="s">
        <v>42</v>
      </c>
      <c r="AD77" t="s">
        <v>43</v>
      </c>
      <c r="AE77" t="s">
        <v>274</v>
      </c>
    </row>
    <row r="78" spans="1:31" x14ac:dyDescent="0.3">
      <c r="A78">
        <v>98032</v>
      </c>
      <c r="B78" t="s">
        <v>275</v>
      </c>
      <c r="C78" t="s">
        <v>184</v>
      </c>
      <c r="E78" t="s">
        <v>268</v>
      </c>
      <c r="F78" t="s">
        <v>269</v>
      </c>
      <c r="G78" t="s">
        <v>270</v>
      </c>
      <c r="H78" t="s">
        <v>276</v>
      </c>
      <c r="I78" t="s">
        <v>277</v>
      </c>
      <c r="J78" t="s">
        <v>33</v>
      </c>
      <c r="K78" t="s">
        <v>33</v>
      </c>
      <c r="L78" t="s">
        <v>578</v>
      </c>
      <c r="M78" cm="1">
        <f t="array" ref="M78">Convert_Decimal(L78)</f>
        <v>40.159722222222221</v>
      </c>
      <c r="N78" t="s">
        <v>278</v>
      </c>
      <c r="P78">
        <v>666</v>
      </c>
      <c r="R78" s="1">
        <v>42284.916666666664</v>
      </c>
      <c r="S78" t="s">
        <v>36</v>
      </c>
      <c r="T78" t="s">
        <v>37</v>
      </c>
      <c r="U78" t="s">
        <v>38</v>
      </c>
      <c r="V78" t="s">
        <v>39</v>
      </c>
      <c r="W78">
        <v>1</v>
      </c>
      <c r="X78">
        <v>0</v>
      </c>
      <c r="Y78" t="b">
        <v>0</v>
      </c>
      <c r="Z78" t="s">
        <v>279</v>
      </c>
      <c r="AA78" t="s">
        <v>41</v>
      </c>
      <c r="AB78" s="1">
        <v>42765.958333333336</v>
      </c>
      <c r="AC78" t="s">
        <v>42</v>
      </c>
      <c r="AD78" t="s">
        <v>43</v>
      </c>
      <c r="AE78" t="s">
        <v>253</v>
      </c>
    </row>
    <row r="79" spans="1:31" x14ac:dyDescent="0.3">
      <c r="A79">
        <v>95610</v>
      </c>
      <c r="B79" t="s">
        <v>280</v>
      </c>
      <c r="C79" t="s">
        <v>184</v>
      </c>
      <c r="E79" t="s">
        <v>281</v>
      </c>
      <c r="F79" t="s">
        <v>282</v>
      </c>
      <c r="G79" t="s">
        <v>283</v>
      </c>
      <c r="H79" t="s">
        <v>284</v>
      </c>
      <c r="I79" t="s">
        <v>284</v>
      </c>
      <c r="J79" t="s">
        <v>285</v>
      </c>
      <c r="K79" t="s">
        <v>33</v>
      </c>
      <c r="L79" t="s">
        <v>579</v>
      </c>
      <c r="M79" cm="1">
        <f t="array" ref="M79">Convert_Decimal(L79)</f>
        <v>41.242777777777775</v>
      </c>
      <c r="N79" t="s">
        <v>286</v>
      </c>
      <c r="P79">
        <v>75</v>
      </c>
      <c r="Q79" s="1">
        <v>40303.916666666664</v>
      </c>
      <c r="R79" s="1">
        <v>40303.916666666664</v>
      </c>
      <c r="S79" t="s">
        <v>36</v>
      </c>
      <c r="T79" t="s">
        <v>37</v>
      </c>
      <c r="U79" t="s">
        <v>38</v>
      </c>
      <c r="V79" t="s">
        <v>39</v>
      </c>
      <c r="W79">
        <v>1</v>
      </c>
      <c r="X79">
        <v>0</v>
      </c>
      <c r="Y79" t="b">
        <v>0</v>
      </c>
      <c r="Z79" t="s">
        <v>244</v>
      </c>
      <c r="AA79" t="s">
        <v>41</v>
      </c>
      <c r="AB79" s="1">
        <v>40946.958333333336</v>
      </c>
      <c r="AC79" t="s">
        <v>42</v>
      </c>
      <c r="AD79" t="s">
        <v>43</v>
      </c>
      <c r="AE79" t="s">
        <v>253</v>
      </c>
    </row>
    <row r="80" spans="1:31" x14ac:dyDescent="0.3">
      <c r="A80">
        <v>95634</v>
      </c>
      <c r="B80" t="s">
        <v>287</v>
      </c>
      <c r="C80" t="s">
        <v>184</v>
      </c>
      <c r="E80" t="s">
        <v>281</v>
      </c>
      <c r="F80" t="s">
        <v>282</v>
      </c>
      <c r="G80" t="s">
        <v>283</v>
      </c>
      <c r="H80" t="s">
        <v>284</v>
      </c>
      <c r="I80" t="s">
        <v>284</v>
      </c>
      <c r="J80" t="s">
        <v>285</v>
      </c>
      <c r="K80" t="s">
        <v>33</v>
      </c>
      <c r="L80" t="s">
        <v>579</v>
      </c>
      <c r="M80" cm="1">
        <f t="array" ref="M80">Convert_Decimal(L80)</f>
        <v>41.242777777777775</v>
      </c>
      <c r="N80" t="s">
        <v>286</v>
      </c>
      <c r="P80">
        <v>75</v>
      </c>
      <c r="Q80" s="1">
        <v>40314.916666666664</v>
      </c>
      <c r="R80" s="1">
        <v>40314.916666666664</v>
      </c>
      <c r="S80" t="s">
        <v>36</v>
      </c>
      <c r="T80" t="s">
        <v>37</v>
      </c>
      <c r="U80" t="s">
        <v>38</v>
      </c>
      <c r="V80" t="s">
        <v>39</v>
      </c>
      <c r="W80">
        <v>3</v>
      </c>
      <c r="X80">
        <v>0</v>
      </c>
      <c r="Y80" t="b">
        <v>0</v>
      </c>
      <c r="Z80" t="s">
        <v>244</v>
      </c>
      <c r="AA80" t="s">
        <v>41</v>
      </c>
      <c r="AB80" s="1">
        <v>40946.958333333336</v>
      </c>
      <c r="AC80" t="s">
        <v>42</v>
      </c>
      <c r="AD80" t="s">
        <v>43</v>
      </c>
      <c r="AE80" t="s">
        <v>253</v>
      </c>
    </row>
    <row r="81" spans="1:31" x14ac:dyDescent="0.3">
      <c r="A81">
        <v>97446</v>
      </c>
      <c r="B81" t="s">
        <v>288</v>
      </c>
      <c r="C81" t="s">
        <v>184</v>
      </c>
      <c r="E81" t="s">
        <v>281</v>
      </c>
      <c r="F81" t="s">
        <v>282</v>
      </c>
      <c r="G81" t="s">
        <v>283</v>
      </c>
      <c r="H81" t="s">
        <v>284</v>
      </c>
      <c r="I81" t="s">
        <v>284</v>
      </c>
      <c r="J81" t="s">
        <v>285</v>
      </c>
      <c r="K81" t="s">
        <v>33</v>
      </c>
      <c r="L81" t="s">
        <v>579</v>
      </c>
      <c r="M81" cm="1">
        <f t="array" ref="M81">Convert_Decimal(L81)</f>
        <v>41.242777777777775</v>
      </c>
      <c r="N81" t="s">
        <v>286</v>
      </c>
      <c r="P81">
        <v>75</v>
      </c>
      <c r="R81" s="1">
        <v>41072.916666666664</v>
      </c>
      <c r="S81" t="s">
        <v>36</v>
      </c>
      <c r="T81" t="s">
        <v>37</v>
      </c>
      <c r="U81" t="s">
        <v>38</v>
      </c>
      <c r="V81" t="s">
        <v>39</v>
      </c>
      <c r="W81">
        <v>0</v>
      </c>
      <c r="X81">
        <v>1</v>
      </c>
      <c r="Y81" t="b">
        <v>0</v>
      </c>
      <c r="Z81" t="s">
        <v>260</v>
      </c>
      <c r="AA81" t="s">
        <v>41</v>
      </c>
      <c r="AB81" s="1">
        <v>42765.958333333336</v>
      </c>
      <c r="AC81" t="s">
        <v>42</v>
      </c>
      <c r="AD81" t="s">
        <v>43</v>
      </c>
    </row>
    <row r="82" spans="1:31" x14ac:dyDescent="0.3">
      <c r="A82">
        <v>97416</v>
      </c>
      <c r="B82" t="s">
        <v>289</v>
      </c>
      <c r="C82" t="s">
        <v>184</v>
      </c>
      <c r="E82" t="s">
        <v>281</v>
      </c>
      <c r="F82" t="s">
        <v>282</v>
      </c>
      <c r="G82" t="s">
        <v>283</v>
      </c>
      <c r="H82" t="s">
        <v>284</v>
      </c>
      <c r="I82" t="s">
        <v>284</v>
      </c>
      <c r="J82" t="s">
        <v>285</v>
      </c>
      <c r="K82" t="s">
        <v>33</v>
      </c>
      <c r="L82" t="s">
        <v>579</v>
      </c>
      <c r="M82" cm="1">
        <f t="array" ref="M82">Convert_Decimal(L82)</f>
        <v>41.242777777777775</v>
      </c>
      <c r="N82" t="s">
        <v>286</v>
      </c>
      <c r="P82">
        <v>75</v>
      </c>
      <c r="R82" s="1">
        <v>41416.916666666664</v>
      </c>
      <c r="S82" t="s">
        <v>36</v>
      </c>
      <c r="T82" t="s">
        <v>37</v>
      </c>
      <c r="U82" t="s">
        <v>38</v>
      </c>
      <c r="V82" t="s">
        <v>39</v>
      </c>
      <c r="W82">
        <v>1</v>
      </c>
      <c r="X82">
        <v>0</v>
      </c>
      <c r="Y82" t="b">
        <v>0</v>
      </c>
      <c r="Z82" t="s">
        <v>290</v>
      </c>
      <c r="AA82" t="s">
        <v>41</v>
      </c>
      <c r="AB82" s="1">
        <v>42765.958333333336</v>
      </c>
      <c r="AC82" t="s">
        <v>42</v>
      </c>
      <c r="AD82" t="s">
        <v>43</v>
      </c>
      <c r="AE82" t="s">
        <v>253</v>
      </c>
    </row>
    <row r="83" spans="1:31" x14ac:dyDescent="0.3">
      <c r="A83">
        <v>96288</v>
      </c>
      <c r="B83" t="s">
        <v>291</v>
      </c>
      <c r="C83" t="s">
        <v>184</v>
      </c>
      <c r="E83" t="s">
        <v>281</v>
      </c>
      <c r="F83" t="s">
        <v>282</v>
      </c>
      <c r="G83" t="s">
        <v>283</v>
      </c>
      <c r="H83" t="s">
        <v>292</v>
      </c>
      <c r="I83" t="s">
        <v>293</v>
      </c>
      <c r="J83" t="s">
        <v>294</v>
      </c>
      <c r="K83" t="s">
        <v>33</v>
      </c>
      <c r="L83" t="s">
        <v>580</v>
      </c>
      <c r="M83" t="e" cm="1">
        <f t="array" ref="M83">Convert_Decimal(L83)</f>
        <v>#VALUE!</v>
      </c>
      <c r="N83" t="s">
        <v>295</v>
      </c>
      <c r="P83">
        <v>100</v>
      </c>
      <c r="Q83" s="1">
        <v>39952.916666666664</v>
      </c>
      <c r="R83" s="1">
        <v>39952.916666666664</v>
      </c>
      <c r="S83" t="s">
        <v>49</v>
      </c>
      <c r="T83" t="s">
        <v>37</v>
      </c>
      <c r="U83" t="s">
        <v>38</v>
      </c>
      <c r="V83" t="s">
        <v>39</v>
      </c>
      <c r="W83">
        <v>1</v>
      </c>
      <c r="X83">
        <v>3</v>
      </c>
      <c r="Y83" t="b">
        <v>0</v>
      </c>
      <c r="Z83" t="s">
        <v>244</v>
      </c>
      <c r="AA83" t="s">
        <v>41</v>
      </c>
      <c r="AB83" s="1">
        <v>40918.958333333336</v>
      </c>
      <c r="AC83" t="s">
        <v>42</v>
      </c>
      <c r="AD83" t="s">
        <v>43</v>
      </c>
      <c r="AE83" t="s">
        <v>253</v>
      </c>
    </row>
    <row r="84" spans="1:31" x14ac:dyDescent="0.3">
      <c r="A84">
        <v>97311</v>
      </c>
      <c r="B84" t="s">
        <v>296</v>
      </c>
      <c r="C84" t="s">
        <v>184</v>
      </c>
      <c r="E84" t="s">
        <v>297</v>
      </c>
      <c r="F84" t="s">
        <v>298</v>
      </c>
      <c r="G84" t="s">
        <v>299</v>
      </c>
      <c r="H84" t="s">
        <v>300</v>
      </c>
      <c r="I84" t="s">
        <v>301</v>
      </c>
      <c r="J84" t="s">
        <v>302</v>
      </c>
      <c r="K84" t="s">
        <v>33</v>
      </c>
      <c r="L84" t="s">
        <v>581</v>
      </c>
      <c r="M84" cm="1">
        <f t="array" ref="M84">Convert_Decimal(L84)</f>
        <v>39.58</v>
      </c>
      <c r="N84" t="s">
        <v>303</v>
      </c>
      <c r="P84">
        <v>10</v>
      </c>
      <c r="R84" s="1">
        <v>41171.916666666664</v>
      </c>
      <c r="S84" t="s">
        <v>36</v>
      </c>
      <c r="T84" t="s">
        <v>37</v>
      </c>
      <c r="U84" t="s">
        <v>38</v>
      </c>
      <c r="V84" t="s">
        <v>39</v>
      </c>
      <c r="W84">
        <v>3</v>
      </c>
      <c r="X84">
        <v>0</v>
      </c>
      <c r="Y84" t="b">
        <v>0</v>
      </c>
      <c r="Z84" t="s">
        <v>304</v>
      </c>
      <c r="AA84" t="s">
        <v>41</v>
      </c>
      <c r="AB84" s="1">
        <v>42765.958333333336</v>
      </c>
      <c r="AC84" t="s">
        <v>42</v>
      </c>
      <c r="AD84" t="s">
        <v>43</v>
      </c>
      <c r="AE84" t="s">
        <v>253</v>
      </c>
    </row>
    <row r="85" spans="1:31" x14ac:dyDescent="0.3">
      <c r="A85">
        <v>97324</v>
      </c>
      <c r="B85" t="s">
        <v>305</v>
      </c>
      <c r="C85" t="s">
        <v>184</v>
      </c>
      <c r="E85" t="s">
        <v>297</v>
      </c>
      <c r="F85" t="s">
        <v>298</v>
      </c>
      <c r="G85" t="s">
        <v>299</v>
      </c>
      <c r="H85" t="s">
        <v>300</v>
      </c>
      <c r="I85" t="s">
        <v>301</v>
      </c>
      <c r="J85" t="s">
        <v>302</v>
      </c>
      <c r="K85" t="s">
        <v>33</v>
      </c>
      <c r="L85" t="s">
        <v>581</v>
      </c>
      <c r="M85" cm="1">
        <f t="array" ref="M85">Convert_Decimal(L85)</f>
        <v>39.58</v>
      </c>
      <c r="N85" t="s">
        <v>303</v>
      </c>
      <c r="P85">
        <v>10</v>
      </c>
      <c r="R85" s="1">
        <v>41173.916666666664</v>
      </c>
      <c r="S85" t="s">
        <v>36</v>
      </c>
      <c r="T85" t="s">
        <v>37</v>
      </c>
      <c r="U85" t="s">
        <v>38</v>
      </c>
      <c r="V85" t="s">
        <v>39</v>
      </c>
      <c r="W85">
        <v>2</v>
      </c>
      <c r="X85">
        <v>3</v>
      </c>
      <c r="Y85" t="b">
        <v>0</v>
      </c>
      <c r="Z85" t="s">
        <v>306</v>
      </c>
      <c r="AA85" t="s">
        <v>41</v>
      </c>
      <c r="AB85" s="1">
        <v>42765.958333333336</v>
      </c>
      <c r="AC85" t="s">
        <v>42</v>
      </c>
      <c r="AD85" t="s">
        <v>43</v>
      </c>
      <c r="AE85" t="s">
        <v>253</v>
      </c>
    </row>
    <row r="86" spans="1:31" x14ac:dyDescent="0.3">
      <c r="A86">
        <v>97312</v>
      </c>
      <c r="B86" t="s">
        <v>307</v>
      </c>
      <c r="C86" t="s">
        <v>184</v>
      </c>
      <c r="E86" t="s">
        <v>297</v>
      </c>
      <c r="F86" t="s">
        <v>298</v>
      </c>
      <c r="G86" t="s">
        <v>299</v>
      </c>
      <c r="H86" t="s">
        <v>300</v>
      </c>
      <c r="I86" t="s">
        <v>301</v>
      </c>
      <c r="J86" t="s">
        <v>302</v>
      </c>
      <c r="K86" t="s">
        <v>33</v>
      </c>
      <c r="L86" t="s">
        <v>581</v>
      </c>
      <c r="M86" cm="1">
        <f t="array" ref="M86">Convert_Decimal(L86)</f>
        <v>39.58</v>
      </c>
      <c r="N86" t="s">
        <v>303</v>
      </c>
      <c r="P86">
        <v>10</v>
      </c>
      <c r="R86" s="1">
        <v>41177.916666666664</v>
      </c>
      <c r="S86" t="s">
        <v>36</v>
      </c>
      <c r="T86" t="s">
        <v>37</v>
      </c>
      <c r="U86" t="s">
        <v>38</v>
      </c>
      <c r="V86" t="s">
        <v>39</v>
      </c>
      <c r="W86">
        <v>0</v>
      </c>
      <c r="X86">
        <v>1</v>
      </c>
      <c r="Y86" t="b">
        <v>1</v>
      </c>
      <c r="Z86" t="s">
        <v>308</v>
      </c>
      <c r="AA86" t="s">
        <v>41</v>
      </c>
      <c r="AB86" s="1">
        <v>42765.958333333336</v>
      </c>
      <c r="AC86" t="s">
        <v>42</v>
      </c>
      <c r="AD86" t="s">
        <v>43</v>
      </c>
      <c r="AE86" t="s">
        <v>253</v>
      </c>
    </row>
    <row r="87" spans="1:31" x14ac:dyDescent="0.3">
      <c r="A87">
        <v>97342</v>
      </c>
      <c r="B87" t="s">
        <v>309</v>
      </c>
      <c r="C87" t="s">
        <v>184</v>
      </c>
      <c r="E87" t="s">
        <v>297</v>
      </c>
      <c r="F87" t="s">
        <v>310</v>
      </c>
      <c r="G87" t="s">
        <v>311</v>
      </c>
      <c r="H87" t="s">
        <v>312</v>
      </c>
      <c r="I87" t="s">
        <v>313</v>
      </c>
      <c r="J87" t="s">
        <v>314</v>
      </c>
      <c r="K87" t="s">
        <v>33</v>
      </c>
      <c r="L87" t="s">
        <v>582</v>
      </c>
      <c r="M87" cm="1">
        <f t="array" ref="M87">Convert_Decimal(L87)</f>
        <v>40.711111111111109</v>
      </c>
      <c r="N87" t="s">
        <v>315</v>
      </c>
      <c r="P87">
        <v>50</v>
      </c>
      <c r="R87" s="1">
        <v>41507.916666666664</v>
      </c>
      <c r="S87" t="s">
        <v>36</v>
      </c>
      <c r="T87" t="s">
        <v>37</v>
      </c>
      <c r="U87" t="s">
        <v>38</v>
      </c>
      <c r="V87" t="s">
        <v>39</v>
      </c>
      <c r="W87">
        <v>1</v>
      </c>
      <c r="X87">
        <v>2</v>
      </c>
      <c r="Y87" t="b">
        <v>0</v>
      </c>
      <c r="Z87" t="s">
        <v>316</v>
      </c>
      <c r="AA87" t="s">
        <v>41</v>
      </c>
      <c r="AB87" s="1">
        <v>42765.958333333336</v>
      </c>
      <c r="AC87" t="s">
        <v>42</v>
      </c>
      <c r="AD87" t="s">
        <v>43</v>
      </c>
      <c r="AE87" t="s">
        <v>253</v>
      </c>
    </row>
    <row r="88" spans="1:31" x14ac:dyDescent="0.3">
      <c r="A88">
        <v>99752</v>
      </c>
      <c r="B88" t="s">
        <v>317</v>
      </c>
      <c r="C88" t="s">
        <v>184</v>
      </c>
      <c r="E88" t="s">
        <v>297</v>
      </c>
      <c r="F88" t="s">
        <v>310</v>
      </c>
      <c r="G88" t="s">
        <v>311</v>
      </c>
      <c r="H88" t="s">
        <v>312</v>
      </c>
      <c r="I88" t="s">
        <v>313</v>
      </c>
      <c r="J88" t="s">
        <v>314</v>
      </c>
      <c r="K88" t="s">
        <v>33</v>
      </c>
      <c r="L88" t="s">
        <v>582</v>
      </c>
      <c r="M88" cm="1">
        <f t="array" ref="M88">Convert_Decimal(L88)</f>
        <v>40.711111111111109</v>
      </c>
      <c r="N88" t="s">
        <v>315</v>
      </c>
      <c r="P88">
        <v>50</v>
      </c>
      <c r="R88" s="1">
        <v>41535.916666666664</v>
      </c>
      <c r="S88" t="s">
        <v>36</v>
      </c>
      <c r="T88" t="s">
        <v>37</v>
      </c>
      <c r="U88" t="s">
        <v>38</v>
      </c>
      <c r="V88" t="s">
        <v>39</v>
      </c>
      <c r="W88">
        <v>1</v>
      </c>
      <c r="X88">
        <v>0</v>
      </c>
      <c r="Y88" t="b">
        <v>0</v>
      </c>
      <c r="Z88" t="s">
        <v>318</v>
      </c>
      <c r="AA88" t="s">
        <v>41</v>
      </c>
      <c r="AB88" s="1">
        <v>42765.958333333336</v>
      </c>
      <c r="AC88" t="s">
        <v>42</v>
      </c>
      <c r="AD88" t="s">
        <v>43</v>
      </c>
    </row>
    <row r="89" spans="1:31" x14ac:dyDescent="0.3">
      <c r="A89">
        <v>97346</v>
      </c>
      <c r="B89" t="s">
        <v>317</v>
      </c>
      <c r="C89" t="s">
        <v>184</v>
      </c>
      <c r="E89" t="s">
        <v>297</v>
      </c>
      <c r="F89" t="s">
        <v>310</v>
      </c>
      <c r="G89" t="s">
        <v>311</v>
      </c>
      <c r="H89" t="s">
        <v>312</v>
      </c>
      <c r="I89" t="s">
        <v>313</v>
      </c>
      <c r="J89" t="s">
        <v>314</v>
      </c>
      <c r="K89" t="s">
        <v>33</v>
      </c>
      <c r="L89" t="s">
        <v>582</v>
      </c>
      <c r="M89" cm="1">
        <f t="array" ref="M89">Convert_Decimal(L89)</f>
        <v>40.711111111111109</v>
      </c>
      <c r="N89" t="s">
        <v>315</v>
      </c>
      <c r="P89">
        <v>50</v>
      </c>
      <c r="R89" s="1">
        <v>41535.916666666664</v>
      </c>
      <c r="S89" t="s">
        <v>36</v>
      </c>
      <c r="T89" t="s">
        <v>37</v>
      </c>
      <c r="U89" t="s">
        <v>38</v>
      </c>
      <c r="V89" t="s">
        <v>39</v>
      </c>
      <c r="W89">
        <v>6</v>
      </c>
      <c r="X89">
        <v>5</v>
      </c>
      <c r="Y89" t="b">
        <v>0</v>
      </c>
      <c r="Z89" t="s">
        <v>319</v>
      </c>
      <c r="AA89" t="s">
        <v>41</v>
      </c>
      <c r="AB89" s="1">
        <v>42765.958333333336</v>
      </c>
      <c r="AC89" t="s">
        <v>42</v>
      </c>
      <c r="AD89" t="s">
        <v>43</v>
      </c>
      <c r="AE89" t="s">
        <v>253</v>
      </c>
    </row>
    <row r="90" spans="1:31" x14ac:dyDescent="0.3">
      <c r="A90">
        <v>97344</v>
      </c>
      <c r="B90" t="s">
        <v>320</v>
      </c>
      <c r="C90" t="s">
        <v>184</v>
      </c>
      <c r="E90" t="s">
        <v>297</v>
      </c>
      <c r="F90" t="s">
        <v>310</v>
      </c>
      <c r="G90" t="s">
        <v>311</v>
      </c>
      <c r="H90" t="s">
        <v>312</v>
      </c>
      <c r="I90" t="s">
        <v>313</v>
      </c>
      <c r="J90" t="s">
        <v>314</v>
      </c>
      <c r="K90" t="s">
        <v>33</v>
      </c>
      <c r="L90" t="s">
        <v>582</v>
      </c>
      <c r="M90" cm="1">
        <f t="array" ref="M90">Convert_Decimal(L90)</f>
        <v>40.711111111111109</v>
      </c>
      <c r="N90" t="s">
        <v>315</v>
      </c>
      <c r="P90">
        <v>50</v>
      </c>
      <c r="R90" s="1">
        <v>41535.916666666664</v>
      </c>
      <c r="S90" t="s">
        <v>49</v>
      </c>
      <c r="T90" t="s">
        <v>37</v>
      </c>
      <c r="U90" t="s">
        <v>38</v>
      </c>
      <c r="V90" t="s">
        <v>39</v>
      </c>
      <c r="W90">
        <v>0</v>
      </c>
      <c r="X90">
        <v>1</v>
      </c>
      <c r="Y90" t="b">
        <v>0</v>
      </c>
      <c r="Z90" t="s">
        <v>316</v>
      </c>
      <c r="AA90" t="s">
        <v>41</v>
      </c>
      <c r="AB90" s="1">
        <v>42765.958333333336</v>
      </c>
      <c r="AC90" t="s">
        <v>42</v>
      </c>
      <c r="AD90" t="s">
        <v>43</v>
      </c>
      <c r="AE90" t="s">
        <v>253</v>
      </c>
    </row>
    <row r="91" spans="1:31" x14ac:dyDescent="0.3">
      <c r="A91">
        <v>96290</v>
      </c>
      <c r="B91" t="s">
        <v>321</v>
      </c>
      <c r="C91" t="s">
        <v>184</v>
      </c>
      <c r="E91" t="s">
        <v>322</v>
      </c>
      <c r="F91" t="s">
        <v>323</v>
      </c>
      <c r="G91" t="s">
        <v>324</v>
      </c>
      <c r="H91" t="s">
        <v>325</v>
      </c>
      <c r="I91" t="s">
        <v>326</v>
      </c>
      <c r="J91" t="s">
        <v>33</v>
      </c>
      <c r="K91" t="s">
        <v>33</v>
      </c>
      <c r="L91" t="s">
        <v>583</v>
      </c>
      <c r="M91" cm="1">
        <f t="array" ref="M91">Convert_Decimal(L91)</f>
        <v>41.619444444444447</v>
      </c>
      <c r="N91" t="s">
        <v>327</v>
      </c>
      <c r="P91">
        <v>37.5</v>
      </c>
      <c r="Q91" s="1">
        <v>39940.916666666664</v>
      </c>
      <c r="R91" s="1">
        <v>39940.916666666664</v>
      </c>
      <c r="S91" t="s">
        <v>49</v>
      </c>
      <c r="T91" t="s">
        <v>37</v>
      </c>
      <c r="U91" t="s">
        <v>38</v>
      </c>
      <c r="V91" t="s">
        <v>39</v>
      </c>
      <c r="W91">
        <v>9</v>
      </c>
      <c r="X91">
        <v>5</v>
      </c>
      <c r="Y91" t="b">
        <v>0</v>
      </c>
      <c r="Z91" t="s">
        <v>328</v>
      </c>
      <c r="AA91" t="s">
        <v>41</v>
      </c>
      <c r="AB91" s="1">
        <v>40918.958333333336</v>
      </c>
      <c r="AC91" t="s">
        <v>42</v>
      </c>
      <c r="AD91" t="s">
        <v>43</v>
      </c>
      <c r="AE91" t="s">
        <v>329</v>
      </c>
    </row>
    <row r="92" spans="1:31" x14ac:dyDescent="0.3">
      <c r="A92">
        <v>96640</v>
      </c>
      <c r="B92" t="s">
        <v>330</v>
      </c>
      <c r="C92" t="s">
        <v>184</v>
      </c>
      <c r="E92" t="s">
        <v>322</v>
      </c>
      <c r="F92" t="s">
        <v>323</v>
      </c>
      <c r="G92" t="s">
        <v>324</v>
      </c>
      <c r="H92" t="s">
        <v>325</v>
      </c>
      <c r="I92" t="s">
        <v>326</v>
      </c>
      <c r="J92" t="s">
        <v>33</v>
      </c>
      <c r="K92" t="s">
        <v>33</v>
      </c>
      <c r="L92" t="s">
        <v>583</v>
      </c>
      <c r="M92" cm="1">
        <f t="array" ref="M92">Convert_Decimal(L92)</f>
        <v>41.619444444444447</v>
      </c>
      <c r="N92" t="s">
        <v>327</v>
      </c>
      <c r="P92">
        <v>37.5</v>
      </c>
      <c r="R92" s="1">
        <v>41049.916666666664</v>
      </c>
      <c r="S92" t="s">
        <v>36</v>
      </c>
      <c r="T92" t="s">
        <v>37</v>
      </c>
      <c r="U92" t="s">
        <v>38</v>
      </c>
      <c r="V92" t="s">
        <v>39</v>
      </c>
      <c r="W92">
        <v>4</v>
      </c>
      <c r="X92">
        <v>1</v>
      </c>
      <c r="Y92" t="b">
        <v>0</v>
      </c>
      <c r="Z92" t="s">
        <v>331</v>
      </c>
      <c r="AA92" t="s">
        <v>41</v>
      </c>
      <c r="AB92" s="1">
        <v>42765.958333333336</v>
      </c>
      <c r="AC92" t="s">
        <v>42</v>
      </c>
      <c r="AD92" t="s">
        <v>43</v>
      </c>
      <c r="AE92" t="s">
        <v>253</v>
      </c>
    </row>
    <row r="93" spans="1:31" x14ac:dyDescent="0.3">
      <c r="A93">
        <v>96629</v>
      </c>
      <c r="B93" t="s">
        <v>332</v>
      </c>
      <c r="C93" t="s">
        <v>184</v>
      </c>
      <c r="E93" t="s">
        <v>322</v>
      </c>
      <c r="F93" t="s">
        <v>323</v>
      </c>
      <c r="G93" t="s">
        <v>324</v>
      </c>
      <c r="H93" t="s">
        <v>325</v>
      </c>
      <c r="I93" t="s">
        <v>326</v>
      </c>
      <c r="J93" t="s">
        <v>33</v>
      </c>
      <c r="K93" t="s">
        <v>33</v>
      </c>
      <c r="L93" t="s">
        <v>583</v>
      </c>
      <c r="M93" cm="1">
        <f t="array" ref="M93">Convert_Decimal(L93)</f>
        <v>41.619444444444447</v>
      </c>
      <c r="N93" t="s">
        <v>327</v>
      </c>
      <c r="P93">
        <v>37.5</v>
      </c>
      <c r="R93" s="1">
        <v>41063.916666666664</v>
      </c>
      <c r="S93" t="s">
        <v>36</v>
      </c>
      <c r="T93" t="s">
        <v>37</v>
      </c>
      <c r="U93" t="s">
        <v>38</v>
      </c>
      <c r="V93" t="s">
        <v>39</v>
      </c>
      <c r="W93">
        <v>2</v>
      </c>
      <c r="X93">
        <v>3</v>
      </c>
      <c r="Y93" t="b">
        <v>0</v>
      </c>
      <c r="Z93" t="s">
        <v>333</v>
      </c>
      <c r="AA93" t="s">
        <v>41</v>
      </c>
      <c r="AB93" s="1">
        <v>42765.958333333336</v>
      </c>
      <c r="AC93" t="s">
        <v>42</v>
      </c>
      <c r="AD93" t="s">
        <v>43</v>
      </c>
      <c r="AE93" t="s">
        <v>253</v>
      </c>
    </row>
    <row r="94" spans="1:31" x14ac:dyDescent="0.3">
      <c r="A94">
        <v>96669</v>
      </c>
      <c r="B94" t="s">
        <v>334</v>
      </c>
      <c r="C94" t="s">
        <v>184</v>
      </c>
      <c r="E94" t="s">
        <v>322</v>
      </c>
      <c r="F94" t="s">
        <v>323</v>
      </c>
      <c r="G94" t="s">
        <v>324</v>
      </c>
      <c r="H94" t="s">
        <v>325</v>
      </c>
      <c r="I94" t="s">
        <v>326</v>
      </c>
      <c r="J94" t="s">
        <v>33</v>
      </c>
      <c r="K94" t="s">
        <v>33</v>
      </c>
      <c r="L94" t="s">
        <v>584</v>
      </c>
      <c r="M94" cm="1">
        <f t="array" ref="M94">Convert_Decimal(L94)</f>
        <v>41.616666666666667</v>
      </c>
      <c r="N94" t="s">
        <v>335</v>
      </c>
      <c r="P94">
        <v>37.5</v>
      </c>
      <c r="Q94" s="1">
        <v>41049.916666666664</v>
      </c>
      <c r="R94" s="1">
        <v>41063.916666666664</v>
      </c>
      <c r="S94" t="s">
        <v>116</v>
      </c>
      <c r="T94" t="s">
        <v>37</v>
      </c>
      <c r="U94" t="s">
        <v>38</v>
      </c>
      <c r="V94" t="s">
        <v>39</v>
      </c>
      <c r="W94">
        <v>0</v>
      </c>
      <c r="X94">
        <v>1</v>
      </c>
      <c r="Y94" t="b">
        <v>1</v>
      </c>
      <c r="Z94" t="s">
        <v>336</v>
      </c>
      <c r="AA94" t="s">
        <v>41</v>
      </c>
      <c r="AB94" s="1">
        <v>42765.958333333336</v>
      </c>
      <c r="AC94" t="s">
        <v>42</v>
      </c>
      <c r="AD94" t="s">
        <v>43</v>
      </c>
      <c r="AE94" t="s">
        <v>253</v>
      </c>
    </row>
    <row r="95" spans="1:31" x14ac:dyDescent="0.3">
      <c r="A95">
        <v>96626</v>
      </c>
      <c r="B95" t="s">
        <v>337</v>
      </c>
      <c r="C95" t="s">
        <v>184</v>
      </c>
      <c r="E95" t="s">
        <v>322</v>
      </c>
      <c r="F95" t="s">
        <v>323</v>
      </c>
      <c r="G95" t="s">
        <v>324</v>
      </c>
      <c r="H95" t="s">
        <v>325</v>
      </c>
      <c r="I95" t="s">
        <v>326</v>
      </c>
      <c r="J95" t="s">
        <v>33</v>
      </c>
      <c r="K95" t="s">
        <v>33</v>
      </c>
      <c r="L95" t="s">
        <v>583</v>
      </c>
      <c r="M95" cm="1">
        <f t="array" ref="M95">Convert_Decimal(L95)</f>
        <v>41.619444444444447</v>
      </c>
      <c r="N95" t="s">
        <v>327</v>
      </c>
      <c r="P95">
        <v>37.5</v>
      </c>
      <c r="R95" s="1">
        <v>41377.916666666664</v>
      </c>
      <c r="S95" t="s">
        <v>36</v>
      </c>
      <c r="T95" t="s">
        <v>37</v>
      </c>
      <c r="U95" t="s">
        <v>38</v>
      </c>
      <c r="V95" t="s">
        <v>39</v>
      </c>
      <c r="W95">
        <v>2</v>
      </c>
      <c r="X95">
        <v>2</v>
      </c>
      <c r="Y95" t="b">
        <v>0</v>
      </c>
      <c r="Z95" t="s">
        <v>338</v>
      </c>
      <c r="AA95" t="s">
        <v>41</v>
      </c>
      <c r="AB95" s="1">
        <v>42765.958333333336</v>
      </c>
      <c r="AC95" t="s">
        <v>42</v>
      </c>
      <c r="AD95" t="s">
        <v>43</v>
      </c>
      <c r="AE95" t="s">
        <v>253</v>
      </c>
    </row>
    <row r="96" spans="1:31" x14ac:dyDescent="0.3">
      <c r="A96">
        <v>96681</v>
      </c>
      <c r="B96" t="s">
        <v>339</v>
      </c>
      <c r="C96" t="s">
        <v>184</v>
      </c>
      <c r="E96" t="s">
        <v>322</v>
      </c>
      <c r="F96" t="s">
        <v>323</v>
      </c>
      <c r="G96" t="s">
        <v>324</v>
      </c>
      <c r="H96" t="s">
        <v>340</v>
      </c>
      <c r="I96" t="s">
        <v>341</v>
      </c>
      <c r="J96" t="s">
        <v>342</v>
      </c>
      <c r="K96" t="s">
        <v>33</v>
      </c>
      <c r="L96" t="s">
        <v>585</v>
      </c>
      <c r="M96" cm="1">
        <f t="array" ref="M96">Convert_Decimal(L96)</f>
        <v>41.512222222222221</v>
      </c>
      <c r="N96" t="s">
        <v>343</v>
      </c>
      <c r="P96">
        <v>2</v>
      </c>
      <c r="R96" s="1">
        <v>41051.916666666664</v>
      </c>
      <c r="S96" t="s">
        <v>36</v>
      </c>
      <c r="T96" t="s">
        <v>37</v>
      </c>
      <c r="U96" t="s">
        <v>38</v>
      </c>
      <c r="V96" t="s">
        <v>39</v>
      </c>
      <c r="W96">
        <v>0</v>
      </c>
      <c r="X96">
        <v>3</v>
      </c>
      <c r="Y96" t="b">
        <v>0</v>
      </c>
      <c r="Z96" t="s">
        <v>260</v>
      </c>
      <c r="AA96" t="s">
        <v>41</v>
      </c>
      <c r="AB96" s="1">
        <v>42765.958333333336</v>
      </c>
      <c r="AC96" t="s">
        <v>42</v>
      </c>
      <c r="AD96" t="s">
        <v>43</v>
      </c>
      <c r="AE96" t="s">
        <v>253</v>
      </c>
    </row>
    <row r="97" spans="1:31" x14ac:dyDescent="0.3">
      <c r="A97">
        <v>96682</v>
      </c>
      <c r="B97" t="s">
        <v>339</v>
      </c>
      <c r="C97" t="s">
        <v>184</v>
      </c>
      <c r="E97" t="s">
        <v>322</v>
      </c>
      <c r="F97" t="s">
        <v>323</v>
      </c>
      <c r="G97" t="s">
        <v>324</v>
      </c>
      <c r="H97" t="s">
        <v>340</v>
      </c>
      <c r="I97" t="s">
        <v>341</v>
      </c>
      <c r="J97" t="s">
        <v>342</v>
      </c>
      <c r="K97" t="s">
        <v>33</v>
      </c>
      <c r="L97" t="s">
        <v>585</v>
      </c>
      <c r="M97" cm="1">
        <f t="array" ref="M97">Convert_Decimal(L97)</f>
        <v>41.512222222222221</v>
      </c>
      <c r="N97" t="s">
        <v>343</v>
      </c>
      <c r="P97">
        <v>2</v>
      </c>
      <c r="R97" s="1">
        <v>41051.916666666664</v>
      </c>
      <c r="S97" t="s">
        <v>36</v>
      </c>
      <c r="T97" t="s">
        <v>37</v>
      </c>
      <c r="U97" t="s">
        <v>38</v>
      </c>
      <c r="V97" t="s">
        <v>39</v>
      </c>
      <c r="W97">
        <v>1</v>
      </c>
      <c r="X97">
        <v>0</v>
      </c>
      <c r="Y97" t="b">
        <v>0</v>
      </c>
      <c r="Z97" t="s">
        <v>344</v>
      </c>
      <c r="AA97" t="s">
        <v>41</v>
      </c>
      <c r="AB97" s="1">
        <v>42765.958333333336</v>
      </c>
      <c r="AC97" t="s">
        <v>42</v>
      </c>
      <c r="AD97" t="s">
        <v>43</v>
      </c>
      <c r="AE97" t="s">
        <v>253</v>
      </c>
    </row>
    <row r="98" spans="1:31" x14ac:dyDescent="0.3">
      <c r="A98">
        <v>96692</v>
      </c>
      <c r="B98" t="s">
        <v>345</v>
      </c>
      <c r="C98" t="s">
        <v>184</v>
      </c>
      <c r="E98" t="s">
        <v>322</v>
      </c>
      <c r="F98" t="s">
        <v>323</v>
      </c>
      <c r="G98" t="s">
        <v>324</v>
      </c>
      <c r="H98" t="s">
        <v>340</v>
      </c>
      <c r="I98" t="s">
        <v>341</v>
      </c>
      <c r="J98" t="s">
        <v>342</v>
      </c>
      <c r="K98" t="s">
        <v>33</v>
      </c>
      <c r="L98" t="s">
        <v>585</v>
      </c>
      <c r="M98" cm="1">
        <f t="array" ref="M98">Convert_Decimal(L98)</f>
        <v>41.512222222222221</v>
      </c>
      <c r="N98" t="s">
        <v>343</v>
      </c>
      <c r="P98">
        <v>2</v>
      </c>
      <c r="R98" s="1">
        <v>42112.916666666664</v>
      </c>
      <c r="S98" t="s">
        <v>36</v>
      </c>
      <c r="T98" t="s">
        <v>37</v>
      </c>
      <c r="U98" t="s">
        <v>38</v>
      </c>
      <c r="V98" t="s">
        <v>39</v>
      </c>
      <c r="W98">
        <v>1</v>
      </c>
      <c r="X98">
        <v>0</v>
      </c>
      <c r="Y98" t="b">
        <v>0</v>
      </c>
      <c r="Z98" t="s">
        <v>346</v>
      </c>
      <c r="AA98" t="s">
        <v>41</v>
      </c>
      <c r="AB98" s="1">
        <v>42765.958333333336</v>
      </c>
      <c r="AC98" t="s">
        <v>42</v>
      </c>
      <c r="AD98" t="s">
        <v>43</v>
      </c>
      <c r="AE98" t="s">
        <v>253</v>
      </c>
    </row>
    <row r="99" spans="1:31" x14ac:dyDescent="0.3">
      <c r="A99">
        <v>96700</v>
      </c>
      <c r="B99" t="s">
        <v>347</v>
      </c>
      <c r="C99" t="s">
        <v>184</v>
      </c>
      <c r="E99" t="s">
        <v>322</v>
      </c>
      <c r="F99" t="s">
        <v>323</v>
      </c>
      <c r="G99" t="s">
        <v>324</v>
      </c>
      <c r="H99" t="s">
        <v>340</v>
      </c>
      <c r="I99" t="s">
        <v>348</v>
      </c>
      <c r="J99" t="s">
        <v>349</v>
      </c>
      <c r="K99" t="s">
        <v>33</v>
      </c>
      <c r="L99" t="s">
        <v>586</v>
      </c>
      <c r="M99" cm="1">
        <f t="array" ref="M99">Convert_Decimal(L99)</f>
        <v>41.546944444444442</v>
      </c>
      <c r="N99" t="s">
        <v>350</v>
      </c>
      <c r="P99">
        <v>23</v>
      </c>
      <c r="R99" s="1">
        <v>41378.916666666664</v>
      </c>
      <c r="S99" t="s">
        <v>36</v>
      </c>
      <c r="T99" t="s">
        <v>37</v>
      </c>
      <c r="U99" t="s">
        <v>38</v>
      </c>
      <c r="V99" t="s">
        <v>39</v>
      </c>
      <c r="W99">
        <v>1</v>
      </c>
      <c r="X99">
        <v>0</v>
      </c>
      <c r="Y99" t="b">
        <v>0</v>
      </c>
      <c r="Z99" t="s">
        <v>351</v>
      </c>
      <c r="AA99" t="s">
        <v>41</v>
      </c>
      <c r="AB99" s="1">
        <v>42765.958333333336</v>
      </c>
      <c r="AC99" t="s">
        <v>42</v>
      </c>
      <c r="AD99" t="s">
        <v>43</v>
      </c>
      <c r="AE99" t="s">
        <v>253</v>
      </c>
    </row>
    <row r="100" spans="1:31" x14ac:dyDescent="0.3">
      <c r="A100">
        <v>96461</v>
      </c>
      <c r="B100" t="s">
        <v>352</v>
      </c>
      <c r="C100" t="s">
        <v>184</v>
      </c>
      <c r="E100" t="s">
        <v>322</v>
      </c>
      <c r="F100" t="s">
        <v>323</v>
      </c>
      <c r="G100" t="s">
        <v>324</v>
      </c>
      <c r="H100" t="s">
        <v>353</v>
      </c>
      <c r="I100" t="s">
        <v>354</v>
      </c>
      <c r="J100" t="s">
        <v>355</v>
      </c>
      <c r="K100" t="s">
        <v>33</v>
      </c>
      <c r="L100" t="s">
        <v>587</v>
      </c>
      <c r="M100" cm="1">
        <f t="array" ref="M100">Convert_Decimal(L100)</f>
        <v>41.779722222222219</v>
      </c>
      <c r="N100" t="s">
        <v>356</v>
      </c>
      <c r="P100">
        <v>500</v>
      </c>
      <c r="Q100" s="1">
        <v>40382.916666666664</v>
      </c>
      <c r="R100" s="1">
        <v>40382.916666666664</v>
      </c>
      <c r="S100" t="s">
        <v>49</v>
      </c>
      <c r="T100" t="s">
        <v>37</v>
      </c>
      <c r="U100" t="s">
        <v>38</v>
      </c>
      <c r="V100" t="s">
        <v>39</v>
      </c>
      <c r="W100">
        <v>0</v>
      </c>
      <c r="X100">
        <v>1</v>
      </c>
      <c r="Y100" t="b">
        <v>1</v>
      </c>
      <c r="Z100" t="s">
        <v>357</v>
      </c>
      <c r="AA100" t="s">
        <v>41</v>
      </c>
      <c r="AB100" s="1">
        <v>40936.958333333336</v>
      </c>
      <c r="AC100" t="s">
        <v>42</v>
      </c>
      <c r="AD100" t="s">
        <v>43</v>
      </c>
      <c r="AE100" t="s">
        <v>253</v>
      </c>
    </row>
    <row r="101" spans="1:31" x14ac:dyDescent="0.3">
      <c r="A101">
        <v>95758</v>
      </c>
      <c r="B101" t="s">
        <v>358</v>
      </c>
      <c r="C101" t="s">
        <v>184</v>
      </c>
      <c r="E101" t="s">
        <v>359</v>
      </c>
      <c r="F101" t="s">
        <v>360</v>
      </c>
      <c r="G101" t="s">
        <v>361</v>
      </c>
      <c r="H101" t="s">
        <v>362</v>
      </c>
      <c r="I101" t="s">
        <v>363</v>
      </c>
      <c r="J101" t="s">
        <v>33</v>
      </c>
      <c r="K101" t="s">
        <v>33</v>
      </c>
      <c r="L101" t="s">
        <v>588</v>
      </c>
      <c r="M101" cm="1">
        <f t="array" ref="M101">Convert_Decimal(L101)</f>
        <v>39.498055555555553</v>
      </c>
      <c r="N101" t="s">
        <v>364</v>
      </c>
      <c r="P101">
        <v>75</v>
      </c>
      <c r="Q101" s="1">
        <v>40631.916666666664</v>
      </c>
      <c r="R101" s="1">
        <v>40631.916666666664</v>
      </c>
      <c r="S101" t="s">
        <v>36</v>
      </c>
      <c r="T101" t="s">
        <v>37</v>
      </c>
      <c r="U101" t="s">
        <v>38</v>
      </c>
      <c r="V101" t="s">
        <v>39</v>
      </c>
      <c r="W101">
        <v>1</v>
      </c>
      <c r="X101">
        <v>0</v>
      </c>
      <c r="Y101" t="b">
        <v>0</v>
      </c>
      <c r="Z101" t="s">
        <v>244</v>
      </c>
      <c r="AA101" t="s">
        <v>41</v>
      </c>
      <c r="AB101" s="1">
        <v>40712.916666666664</v>
      </c>
      <c r="AC101" t="s">
        <v>42</v>
      </c>
      <c r="AD101" t="s">
        <v>43</v>
      </c>
      <c r="AE101" t="s">
        <v>253</v>
      </c>
    </row>
    <row r="102" spans="1:31" x14ac:dyDescent="0.3">
      <c r="A102">
        <v>98192</v>
      </c>
      <c r="B102" t="s">
        <v>365</v>
      </c>
      <c r="C102" t="s">
        <v>184</v>
      </c>
      <c r="E102" t="s">
        <v>359</v>
      </c>
      <c r="F102" t="s">
        <v>360</v>
      </c>
      <c r="G102" t="s">
        <v>361</v>
      </c>
      <c r="H102" t="s">
        <v>366</v>
      </c>
      <c r="I102" t="s">
        <v>367</v>
      </c>
      <c r="J102" t="s">
        <v>368</v>
      </c>
      <c r="K102" t="s">
        <v>33</v>
      </c>
      <c r="L102" t="s">
        <v>589</v>
      </c>
      <c r="M102" cm="1">
        <f t="array" ref="M102">Convert_Decimal(L102)</f>
        <v>40.812777777777775</v>
      </c>
      <c r="N102" t="s">
        <v>369</v>
      </c>
      <c r="P102">
        <v>65</v>
      </c>
      <c r="R102" s="1">
        <v>41393.916666666664</v>
      </c>
      <c r="S102" t="s">
        <v>36</v>
      </c>
      <c r="T102" t="s">
        <v>259</v>
      </c>
      <c r="U102" t="s">
        <v>38</v>
      </c>
      <c r="V102" t="s">
        <v>39</v>
      </c>
      <c r="W102">
        <v>0</v>
      </c>
      <c r="X102">
        <v>1</v>
      </c>
      <c r="Y102" t="b">
        <v>0</v>
      </c>
      <c r="Z102" t="s">
        <v>260</v>
      </c>
      <c r="AA102" t="s">
        <v>41</v>
      </c>
      <c r="AB102" s="1">
        <v>43255.916666666664</v>
      </c>
      <c r="AC102" t="s">
        <v>42</v>
      </c>
      <c r="AD102" t="s">
        <v>43</v>
      </c>
    </row>
    <row r="103" spans="1:31" x14ac:dyDescent="0.3">
      <c r="A103">
        <v>96783</v>
      </c>
      <c r="B103" t="s">
        <v>370</v>
      </c>
      <c r="C103" t="s">
        <v>184</v>
      </c>
      <c r="E103" t="s">
        <v>371</v>
      </c>
      <c r="F103" t="s">
        <v>372</v>
      </c>
      <c r="G103" t="s">
        <v>373</v>
      </c>
      <c r="H103" t="s">
        <v>373</v>
      </c>
      <c r="I103" t="s">
        <v>374</v>
      </c>
      <c r="J103" t="s">
        <v>33</v>
      </c>
      <c r="K103" t="s">
        <v>33</v>
      </c>
      <c r="L103" t="s">
        <v>590</v>
      </c>
      <c r="M103" cm="1">
        <f t="array" ref="M103">Convert_Decimal(L103)</f>
        <v>41.894722222222221</v>
      </c>
      <c r="N103" t="s">
        <v>375</v>
      </c>
      <c r="P103">
        <v>611</v>
      </c>
      <c r="R103" s="1">
        <v>42278.916666666664</v>
      </c>
      <c r="S103" t="s">
        <v>36</v>
      </c>
      <c r="T103" t="s">
        <v>37</v>
      </c>
      <c r="U103" t="s">
        <v>38</v>
      </c>
      <c r="V103" t="s">
        <v>39</v>
      </c>
      <c r="W103">
        <v>1</v>
      </c>
      <c r="X103">
        <v>0</v>
      </c>
      <c r="Y103" t="b">
        <v>0</v>
      </c>
      <c r="Z103" t="s">
        <v>376</v>
      </c>
      <c r="AA103" t="s">
        <v>41</v>
      </c>
      <c r="AB103" s="1">
        <v>42765.958333333336</v>
      </c>
      <c r="AC103" t="s">
        <v>42</v>
      </c>
      <c r="AD103" t="s">
        <v>43</v>
      </c>
      <c r="AE103" t="s">
        <v>253</v>
      </c>
    </row>
    <row r="104" spans="1:31" x14ac:dyDescent="0.3">
      <c r="A104">
        <v>96895</v>
      </c>
      <c r="B104" t="s">
        <v>377</v>
      </c>
      <c r="C104" t="s">
        <v>184</v>
      </c>
      <c r="E104" t="s">
        <v>371</v>
      </c>
      <c r="F104" t="s">
        <v>372</v>
      </c>
      <c r="G104" t="s">
        <v>373</v>
      </c>
      <c r="H104" t="s">
        <v>373</v>
      </c>
      <c r="I104" t="s">
        <v>378</v>
      </c>
      <c r="J104" t="s">
        <v>33</v>
      </c>
      <c r="K104" t="s">
        <v>33</v>
      </c>
      <c r="L104" t="s">
        <v>591</v>
      </c>
      <c r="M104" cm="1">
        <f t="array" ref="M104">Convert_Decimal(L104)</f>
        <v>41.964166666666664</v>
      </c>
      <c r="N104" t="s">
        <v>379</v>
      </c>
      <c r="P104">
        <v>638</v>
      </c>
      <c r="R104" s="1">
        <v>42133.916666666664</v>
      </c>
      <c r="S104" t="s">
        <v>36</v>
      </c>
      <c r="T104" t="s">
        <v>37</v>
      </c>
      <c r="U104" t="s">
        <v>38</v>
      </c>
      <c r="V104" t="s">
        <v>39</v>
      </c>
      <c r="W104">
        <v>1</v>
      </c>
      <c r="X104">
        <v>0</v>
      </c>
      <c r="Y104" t="b">
        <v>0</v>
      </c>
      <c r="Z104" t="s">
        <v>380</v>
      </c>
      <c r="AA104" t="s">
        <v>41</v>
      </c>
      <c r="AB104" s="1">
        <v>42765.958333333336</v>
      </c>
      <c r="AC104" t="s">
        <v>42</v>
      </c>
      <c r="AD104" t="s">
        <v>43</v>
      </c>
      <c r="AE104" t="s">
        <v>253</v>
      </c>
    </row>
    <row r="105" spans="1:31" x14ac:dyDescent="0.3">
      <c r="A105">
        <v>96912</v>
      </c>
      <c r="B105" t="s">
        <v>381</v>
      </c>
      <c r="C105" t="s">
        <v>184</v>
      </c>
      <c r="E105" t="s">
        <v>371</v>
      </c>
      <c r="F105" t="s">
        <v>372</v>
      </c>
      <c r="G105" t="s">
        <v>373</v>
      </c>
      <c r="H105" t="s">
        <v>373</v>
      </c>
      <c r="I105" t="s">
        <v>382</v>
      </c>
      <c r="J105" t="s">
        <v>33</v>
      </c>
      <c r="K105" t="s">
        <v>33</v>
      </c>
      <c r="L105" t="s">
        <v>592</v>
      </c>
      <c r="M105" cm="1">
        <f t="array" ref="M105">Convert_Decimal(L105)</f>
        <v>41.853611111111114</v>
      </c>
      <c r="N105" t="s">
        <v>383</v>
      </c>
      <c r="P105">
        <v>983</v>
      </c>
      <c r="R105" s="1">
        <v>41891.916666666664</v>
      </c>
      <c r="S105" t="s">
        <v>36</v>
      </c>
      <c r="T105" t="s">
        <v>37</v>
      </c>
      <c r="U105" t="s">
        <v>38</v>
      </c>
      <c r="V105" t="s">
        <v>39</v>
      </c>
      <c r="W105">
        <v>2</v>
      </c>
      <c r="X105">
        <v>1</v>
      </c>
      <c r="Y105" t="b">
        <v>0</v>
      </c>
      <c r="Z105" t="s">
        <v>384</v>
      </c>
      <c r="AA105" t="s">
        <v>41</v>
      </c>
      <c r="AB105" s="1">
        <v>42765.958333333336</v>
      </c>
      <c r="AC105" t="s">
        <v>42</v>
      </c>
      <c r="AD105" t="s">
        <v>43</v>
      </c>
      <c r="AE105" t="s">
        <v>253</v>
      </c>
    </row>
    <row r="106" spans="1:31" x14ac:dyDescent="0.3">
      <c r="A106">
        <v>98103</v>
      </c>
      <c r="B106" t="s">
        <v>385</v>
      </c>
      <c r="C106" t="s">
        <v>184</v>
      </c>
      <c r="E106" t="s">
        <v>371</v>
      </c>
      <c r="F106" t="s">
        <v>372</v>
      </c>
      <c r="G106" t="s">
        <v>373</v>
      </c>
      <c r="H106" t="s">
        <v>386</v>
      </c>
      <c r="I106" t="s">
        <v>387</v>
      </c>
      <c r="J106" t="s">
        <v>388</v>
      </c>
      <c r="K106" t="s">
        <v>33</v>
      </c>
      <c r="L106" t="s">
        <v>593</v>
      </c>
      <c r="M106" cm="1">
        <f t="array" ref="M106">Convert_Decimal(L106)</f>
        <v>41.650555555555556</v>
      </c>
      <c r="N106" t="s">
        <v>389</v>
      </c>
      <c r="P106">
        <v>552</v>
      </c>
      <c r="R106" s="1">
        <v>42094.916666666664</v>
      </c>
      <c r="S106" t="s">
        <v>36</v>
      </c>
      <c r="T106" t="s">
        <v>259</v>
      </c>
      <c r="U106" t="s">
        <v>38</v>
      </c>
      <c r="V106" t="s">
        <v>39</v>
      </c>
      <c r="W106">
        <v>0</v>
      </c>
      <c r="X106">
        <v>1</v>
      </c>
      <c r="Y106" t="b">
        <v>1</v>
      </c>
      <c r="Z106" t="s">
        <v>260</v>
      </c>
      <c r="AA106" t="s">
        <v>41</v>
      </c>
      <c r="AB106" s="1">
        <v>42765.958333333336</v>
      </c>
      <c r="AC106" t="s">
        <v>42</v>
      </c>
      <c r="AD106" t="s">
        <v>43</v>
      </c>
    </row>
    <row r="107" spans="1:31" x14ac:dyDescent="0.3">
      <c r="A107">
        <v>96923</v>
      </c>
      <c r="B107" t="s">
        <v>390</v>
      </c>
      <c r="C107" t="s">
        <v>184</v>
      </c>
      <c r="E107" t="s">
        <v>371</v>
      </c>
      <c r="F107" t="s">
        <v>372</v>
      </c>
      <c r="G107" t="s">
        <v>373</v>
      </c>
      <c r="H107" t="s">
        <v>386</v>
      </c>
      <c r="I107" t="s">
        <v>391</v>
      </c>
      <c r="J107" t="s">
        <v>33</v>
      </c>
      <c r="K107" t="s">
        <v>33</v>
      </c>
      <c r="L107" t="s">
        <v>594</v>
      </c>
      <c r="M107" cm="1">
        <f t="array" ref="M107">Convert_Decimal(L107)</f>
        <v>41.499444444444443</v>
      </c>
      <c r="N107" t="s">
        <v>392</v>
      </c>
      <c r="P107">
        <v>603</v>
      </c>
      <c r="R107" s="1">
        <v>42282.916666666664</v>
      </c>
      <c r="S107" t="s">
        <v>36</v>
      </c>
      <c r="T107" t="s">
        <v>37</v>
      </c>
      <c r="U107" t="s">
        <v>38</v>
      </c>
      <c r="V107" t="s">
        <v>39</v>
      </c>
      <c r="W107">
        <v>2</v>
      </c>
      <c r="X107">
        <v>0</v>
      </c>
      <c r="Y107" t="b">
        <v>0</v>
      </c>
      <c r="Z107" t="s">
        <v>393</v>
      </c>
      <c r="AA107" t="s">
        <v>41</v>
      </c>
      <c r="AB107" s="1">
        <v>42765.958333333336</v>
      </c>
      <c r="AC107" t="s">
        <v>42</v>
      </c>
      <c r="AD107" t="s">
        <v>43</v>
      </c>
      <c r="AE107" t="s">
        <v>253</v>
      </c>
    </row>
    <row r="108" spans="1:31" x14ac:dyDescent="0.3">
      <c r="A108">
        <v>97717</v>
      </c>
      <c r="B108" t="s">
        <v>394</v>
      </c>
      <c r="C108" t="s">
        <v>184</v>
      </c>
      <c r="E108" t="s">
        <v>371</v>
      </c>
      <c r="F108" t="s">
        <v>372</v>
      </c>
      <c r="G108" t="s">
        <v>373</v>
      </c>
      <c r="H108" t="s">
        <v>386</v>
      </c>
      <c r="I108" t="s">
        <v>391</v>
      </c>
      <c r="J108" t="s">
        <v>33</v>
      </c>
      <c r="K108" t="s">
        <v>33</v>
      </c>
      <c r="L108" t="s">
        <v>594</v>
      </c>
      <c r="M108" cm="1">
        <f t="array" ref="M108">Convert_Decimal(L108)</f>
        <v>41.499444444444443</v>
      </c>
      <c r="N108" t="s">
        <v>392</v>
      </c>
      <c r="P108">
        <v>603</v>
      </c>
      <c r="R108" s="1">
        <v>42523.916666666664</v>
      </c>
      <c r="S108" t="s">
        <v>36</v>
      </c>
      <c r="T108" t="s">
        <v>37</v>
      </c>
      <c r="U108" t="s">
        <v>38</v>
      </c>
      <c r="V108" t="s">
        <v>39</v>
      </c>
      <c r="W108">
        <v>1</v>
      </c>
      <c r="X108">
        <v>0</v>
      </c>
      <c r="Y108" t="b">
        <v>0</v>
      </c>
      <c r="Z108" t="s">
        <v>395</v>
      </c>
      <c r="AA108" t="s">
        <v>41</v>
      </c>
      <c r="AB108" s="1">
        <v>42765.958333333336</v>
      </c>
      <c r="AC108" t="s">
        <v>42</v>
      </c>
      <c r="AD108" t="s">
        <v>43</v>
      </c>
      <c r="AE108" t="s">
        <v>253</v>
      </c>
    </row>
    <row r="109" spans="1:31" x14ac:dyDescent="0.3">
      <c r="A109">
        <v>96931</v>
      </c>
      <c r="B109" t="s">
        <v>396</v>
      </c>
      <c r="C109" t="s">
        <v>184</v>
      </c>
      <c r="E109" t="s">
        <v>371</v>
      </c>
      <c r="F109" t="s">
        <v>372</v>
      </c>
      <c r="G109" t="s">
        <v>373</v>
      </c>
      <c r="H109" t="s">
        <v>397</v>
      </c>
      <c r="I109" t="s">
        <v>398</v>
      </c>
      <c r="J109" t="s">
        <v>33</v>
      </c>
      <c r="K109" t="s">
        <v>33</v>
      </c>
      <c r="L109" t="s">
        <v>595</v>
      </c>
      <c r="M109" cm="1">
        <f t="array" ref="M109">Convert_Decimal(L109)</f>
        <v>41.320555555555558</v>
      </c>
      <c r="N109" t="s">
        <v>399</v>
      </c>
      <c r="P109">
        <v>222</v>
      </c>
      <c r="R109" s="1">
        <v>42171.916666666664</v>
      </c>
      <c r="S109" t="s">
        <v>36</v>
      </c>
      <c r="T109" t="s">
        <v>37</v>
      </c>
      <c r="U109" t="s">
        <v>38</v>
      </c>
      <c r="V109" t="s">
        <v>39</v>
      </c>
      <c r="W109">
        <v>1</v>
      </c>
      <c r="X109">
        <v>0</v>
      </c>
      <c r="Y109" t="b">
        <v>0</v>
      </c>
      <c r="Z109" t="s">
        <v>400</v>
      </c>
      <c r="AA109" t="s">
        <v>41</v>
      </c>
      <c r="AB109" s="1">
        <v>42765.958333333336</v>
      </c>
      <c r="AC109" t="s">
        <v>42</v>
      </c>
      <c r="AD109" t="s">
        <v>43</v>
      </c>
      <c r="AE109" t="s">
        <v>253</v>
      </c>
    </row>
    <row r="110" spans="1:31" x14ac:dyDescent="0.3">
      <c r="A110">
        <v>97763</v>
      </c>
      <c r="B110" t="s">
        <v>401</v>
      </c>
      <c r="C110" t="s">
        <v>184</v>
      </c>
      <c r="E110" t="s">
        <v>371</v>
      </c>
      <c r="F110" t="s">
        <v>372</v>
      </c>
      <c r="G110" t="s">
        <v>373</v>
      </c>
      <c r="H110" t="s">
        <v>402</v>
      </c>
      <c r="I110" t="s">
        <v>403</v>
      </c>
      <c r="J110" t="s">
        <v>404</v>
      </c>
      <c r="K110" t="s">
        <v>33</v>
      </c>
      <c r="L110" t="s">
        <v>596</v>
      </c>
      <c r="M110" cm="1">
        <f t="array" ref="M110">Convert_Decimal(L110)</f>
        <v>41.38</v>
      </c>
      <c r="N110" t="s">
        <v>405</v>
      </c>
      <c r="P110">
        <v>449</v>
      </c>
      <c r="R110" s="1">
        <v>42521.916666666664</v>
      </c>
      <c r="S110" t="s">
        <v>36</v>
      </c>
      <c r="T110" t="s">
        <v>37</v>
      </c>
      <c r="U110" t="s">
        <v>38</v>
      </c>
      <c r="V110" t="s">
        <v>39</v>
      </c>
      <c r="W110">
        <v>1</v>
      </c>
      <c r="X110">
        <v>0</v>
      </c>
      <c r="Y110" t="b">
        <v>0</v>
      </c>
      <c r="Z110" t="s">
        <v>406</v>
      </c>
      <c r="AA110" t="s">
        <v>41</v>
      </c>
      <c r="AB110" s="1">
        <v>42765.958333333336</v>
      </c>
      <c r="AC110" t="s">
        <v>42</v>
      </c>
      <c r="AD110" t="s">
        <v>43</v>
      </c>
      <c r="AE110" t="s">
        <v>253</v>
      </c>
    </row>
    <row r="111" spans="1:31" x14ac:dyDescent="0.3">
      <c r="A111">
        <v>96952</v>
      </c>
      <c r="B111" t="s">
        <v>407</v>
      </c>
      <c r="C111" t="s">
        <v>184</v>
      </c>
      <c r="E111" t="s">
        <v>371</v>
      </c>
      <c r="F111" t="s">
        <v>372</v>
      </c>
      <c r="G111" t="s">
        <v>373</v>
      </c>
      <c r="H111" t="s">
        <v>408</v>
      </c>
      <c r="I111" t="s">
        <v>409</v>
      </c>
      <c r="J111" t="s">
        <v>33</v>
      </c>
      <c r="K111" t="s">
        <v>33</v>
      </c>
      <c r="L111" t="s">
        <v>597</v>
      </c>
      <c r="M111" cm="1">
        <f t="array" ref="M111">Convert_Decimal(L111)</f>
        <v>41.498888888888892</v>
      </c>
      <c r="N111" t="s">
        <v>410</v>
      </c>
      <c r="P111">
        <v>341</v>
      </c>
      <c r="R111" s="1">
        <v>42170.916666666664</v>
      </c>
      <c r="S111" t="s">
        <v>36</v>
      </c>
      <c r="T111" t="s">
        <v>37</v>
      </c>
      <c r="U111" t="s">
        <v>38</v>
      </c>
      <c r="V111" t="s">
        <v>39</v>
      </c>
      <c r="W111">
        <v>0</v>
      </c>
      <c r="X111">
        <v>2</v>
      </c>
      <c r="Y111" t="b">
        <v>0</v>
      </c>
      <c r="Z111" t="s">
        <v>260</v>
      </c>
      <c r="AA111" t="s">
        <v>41</v>
      </c>
      <c r="AB111" s="1">
        <v>42765.958333333336</v>
      </c>
      <c r="AC111" t="s">
        <v>42</v>
      </c>
      <c r="AD111" t="s">
        <v>43</v>
      </c>
      <c r="AE111" t="s">
        <v>411</v>
      </c>
    </row>
    <row r="112" spans="1:31" x14ac:dyDescent="0.3">
      <c r="A112">
        <v>98022</v>
      </c>
      <c r="B112" t="s">
        <v>412</v>
      </c>
      <c r="C112" t="s">
        <v>184</v>
      </c>
      <c r="E112" t="s">
        <v>371</v>
      </c>
      <c r="F112" t="s">
        <v>372</v>
      </c>
      <c r="G112" t="s">
        <v>373</v>
      </c>
      <c r="H112" t="s">
        <v>408</v>
      </c>
      <c r="I112" t="s">
        <v>409</v>
      </c>
      <c r="J112" t="s">
        <v>413</v>
      </c>
      <c r="K112" t="s">
        <v>33</v>
      </c>
      <c r="L112" t="s">
        <v>598</v>
      </c>
      <c r="M112" cm="1">
        <f t="array" ref="M112">Convert_Decimal(L112)</f>
        <v>41.628888888888888</v>
      </c>
      <c r="N112" t="s">
        <v>414</v>
      </c>
      <c r="P112">
        <v>575</v>
      </c>
      <c r="R112" s="1">
        <v>42281.916666666664</v>
      </c>
      <c r="S112" t="s">
        <v>36</v>
      </c>
      <c r="T112" t="s">
        <v>61</v>
      </c>
      <c r="U112" t="s">
        <v>38</v>
      </c>
      <c r="V112" t="s">
        <v>39</v>
      </c>
      <c r="W112">
        <v>1</v>
      </c>
      <c r="X112">
        <v>0</v>
      </c>
      <c r="Y112" t="b">
        <v>0</v>
      </c>
      <c r="Z112" t="s">
        <v>415</v>
      </c>
      <c r="AA112" t="s">
        <v>41</v>
      </c>
      <c r="AB112" s="1">
        <v>42765.958333333336</v>
      </c>
      <c r="AC112" t="s">
        <v>42</v>
      </c>
      <c r="AD112" t="s">
        <v>43</v>
      </c>
      <c r="AE112" t="s">
        <v>253</v>
      </c>
    </row>
    <row r="113" spans="1:31" x14ac:dyDescent="0.3">
      <c r="A113">
        <v>96960</v>
      </c>
      <c r="B113" t="s">
        <v>416</v>
      </c>
      <c r="C113" t="s">
        <v>184</v>
      </c>
      <c r="E113" t="s">
        <v>371</v>
      </c>
      <c r="F113" t="s">
        <v>372</v>
      </c>
      <c r="G113" t="s">
        <v>373</v>
      </c>
      <c r="H113" t="s">
        <v>408</v>
      </c>
      <c r="I113" t="s">
        <v>409</v>
      </c>
      <c r="J113" t="s">
        <v>413</v>
      </c>
      <c r="K113" t="s">
        <v>33</v>
      </c>
      <c r="L113" t="s">
        <v>598</v>
      </c>
      <c r="M113" cm="1">
        <f t="array" ref="M113">Convert_Decimal(L113)</f>
        <v>41.628888888888888</v>
      </c>
      <c r="N113" t="s">
        <v>414</v>
      </c>
      <c r="P113">
        <v>575</v>
      </c>
      <c r="R113" s="1">
        <v>42282.916666666664</v>
      </c>
      <c r="S113" t="s">
        <v>36</v>
      </c>
      <c r="T113" t="s">
        <v>61</v>
      </c>
      <c r="U113" t="s">
        <v>38</v>
      </c>
      <c r="V113" t="s">
        <v>39</v>
      </c>
      <c r="W113">
        <v>1</v>
      </c>
      <c r="X113">
        <v>1</v>
      </c>
      <c r="Y113" t="b">
        <v>0</v>
      </c>
      <c r="Z113" t="s">
        <v>417</v>
      </c>
      <c r="AA113" t="s">
        <v>41</v>
      </c>
      <c r="AB113" s="1">
        <v>42765.958333333336</v>
      </c>
      <c r="AC113" t="s">
        <v>42</v>
      </c>
      <c r="AD113" t="s">
        <v>43</v>
      </c>
      <c r="AE113" t="s">
        <v>253</v>
      </c>
    </row>
    <row r="114" spans="1:31" x14ac:dyDescent="0.3">
      <c r="A114">
        <v>97666</v>
      </c>
      <c r="B114" t="s">
        <v>418</v>
      </c>
      <c r="C114" t="s">
        <v>184</v>
      </c>
      <c r="E114" t="s">
        <v>371</v>
      </c>
      <c r="F114" t="s">
        <v>419</v>
      </c>
      <c r="G114" t="s">
        <v>420</v>
      </c>
      <c r="H114" t="s">
        <v>421</v>
      </c>
      <c r="I114" t="s">
        <v>422</v>
      </c>
      <c r="J114" t="s">
        <v>423</v>
      </c>
      <c r="K114" t="s">
        <v>33</v>
      </c>
      <c r="L114" t="s">
        <v>599</v>
      </c>
      <c r="M114" cm="1">
        <f t="array" ref="M114">Convert_Decimal(L114)</f>
        <v>41.488888888888887</v>
      </c>
      <c r="N114" t="s">
        <v>424</v>
      </c>
      <c r="P114">
        <v>750</v>
      </c>
      <c r="R114" s="1">
        <v>41449.916666666664</v>
      </c>
      <c r="S114" t="s">
        <v>36</v>
      </c>
      <c r="T114" t="s">
        <v>37</v>
      </c>
      <c r="U114" t="s">
        <v>38</v>
      </c>
      <c r="V114" t="s">
        <v>39</v>
      </c>
      <c r="W114">
        <v>0</v>
      </c>
      <c r="X114">
        <v>1</v>
      </c>
      <c r="Y114" t="b">
        <v>0</v>
      </c>
      <c r="Z114" t="s">
        <v>260</v>
      </c>
      <c r="AA114" t="s">
        <v>41</v>
      </c>
      <c r="AB114" s="1">
        <v>42765.958333333336</v>
      </c>
      <c r="AC114" t="s">
        <v>42</v>
      </c>
      <c r="AD114" t="s">
        <v>43</v>
      </c>
      <c r="AE114" t="s">
        <v>253</v>
      </c>
    </row>
    <row r="115" spans="1:31" x14ac:dyDescent="0.3">
      <c r="A115">
        <v>97677</v>
      </c>
      <c r="B115" t="s">
        <v>425</v>
      </c>
      <c r="C115" t="s">
        <v>184</v>
      </c>
      <c r="E115" t="s">
        <v>371</v>
      </c>
      <c r="F115" t="s">
        <v>419</v>
      </c>
      <c r="G115" t="s">
        <v>420</v>
      </c>
      <c r="H115" t="s">
        <v>426</v>
      </c>
      <c r="I115" t="s">
        <v>427</v>
      </c>
      <c r="J115" t="s">
        <v>33</v>
      </c>
      <c r="K115" t="s">
        <v>33</v>
      </c>
      <c r="L115" t="s">
        <v>600</v>
      </c>
      <c r="M115" cm="1">
        <f t="array" ref="M115">Convert_Decimal(L115)</f>
        <v>41.951944444444443</v>
      </c>
      <c r="N115" t="s">
        <v>428</v>
      </c>
      <c r="P115">
        <v>965</v>
      </c>
      <c r="R115" s="1">
        <v>41161.916666666664</v>
      </c>
      <c r="S115" t="s">
        <v>36</v>
      </c>
      <c r="T115" t="s">
        <v>37</v>
      </c>
      <c r="U115" t="s">
        <v>38</v>
      </c>
      <c r="V115" t="s">
        <v>39</v>
      </c>
      <c r="W115">
        <v>2</v>
      </c>
      <c r="X115">
        <v>1</v>
      </c>
      <c r="Y115" t="b">
        <v>0</v>
      </c>
      <c r="Z115" t="s">
        <v>429</v>
      </c>
      <c r="AA115" t="s">
        <v>41</v>
      </c>
      <c r="AB115" s="1">
        <v>42765.958333333336</v>
      </c>
      <c r="AC115" t="s">
        <v>42</v>
      </c>
      <c r="AD115" t="s">
        <v>43</v>
      </c>
      <c r="AE115" t="s">
        <v>253</v>
      </c>
    </row>
    <row r="116" spans="1:31" x14ac:dyDescent="0.3">
      <c r="A116">
        <v>120878</v>
      </c>
      <c r="B116" t="s">
        <v>430</v>
      </c>
      <c r="C116" t="s">
        <v>109</v>
      </c>
      <c r="D116" t="s">
        <v>110</v>
      </c>
      <c r="E116" t="s">
        <v>111</v>
      </c>
      <c r="I116" t="s">
        <v>156</v>
      </c>
      <c r="J116" t="s">
        <v>113</v>
      </c>
      <c r="K116" t="s">
        <v>157</v>
      </c>
      <c r="L116" t="s">
        <v>601</v>
      </c>
      <c r="M116" cm="1">
        <f t="array" ref="M116">Convert_Decimal(L116)</f>
        <v>45.905000000000001</v>
      </c>
      <c r="N116" t="s">
        <v>431</v>
      </c>
      <c r="P116">
        <v>947</v>
      </c>
      <c r="Q116" s="1">
        <v>43642.916666666664</v>
      </c>
      <c r="R116" s="1">
        <v>43656.916666666664</v>
      </c>
      <c r="S116" t="s">
        <v>116</v>
      </c>
      <c r="T116" t="s">
        <v>117</v>
      </c>
      <c r="U116" t="s">
        <v>432</v>
      </c>
      <c r="V116" t="s">
        <v>433</v>
      </c>
      <c r="W116">
        <v>1</v>
      </c>
      <c r="X116">
        <v>0</v>
      </c>
      <c r="Y116" t="b">
        <v>0</v>
      </c>
      <c r="Z116" t="s">
        <v>434</v>
      </c>
      <c r="AA116" t="s">
        <v>41</v>
      </c>
      <c r="AB116" s="1">
        <v>44171.958333333336</v>
      </c>
      <c r="AC116" t="s">
        <v>42</v>
      </c>
      <c r="AD116" t="s">
        <v>43</v>
      </c>
      <c r="AE116" t="s">
        <v>435</v>
      </c>
    </row>
    <row r="117" spans="1:31" x14ac:dyDescent="0.3">
      <c r="A117">
        <v>120788</v>
      </c>
      <c r="B117" t="s">
        <v>164</v>
      </c>
      <c r="C117" t="s">
        <v>109</v>
      </c>
      <c r="D117" t="s">
        <v>110</v>
      </c>
      <c r="E117" t="s">
        <v>111</v>
      </c>
      <c r="I117" t="s">
        <v>156</v>
      </c>
      <c r="J117" t="s">
        <v>113</v>
      </c>
      <c r="K117" t="s">
        <v>157</v>
      </c>
      <c r="L117" t="s">
        <v>558</v>
      </c>
      <c r="M117" cm="1">
        <f t="array" ref="M117">Convert_Decimal(L117)</f>
        <v>73.768333333333331</v>
      </c>
      <c r="N117" t="s">
        <v>162</v>
      </c>
      <c r="P117">
        <v>936</v>
      </c>
      <c r="Q117" s="1">
        <v>43642.916666666664</v>
      </c>
      <c r="R117" s="1">
        <v>43656.916666666664</v>
      </c>
      <c r="S117" t="s">
        <v>116</v>
      </c>
      <c r="T117" t="s">
        <v>117</v>
      </c>
      <c r="U117" t="s">
        <v>432</v>
      </c>
      <c r="V117" t="s">
        <v>433</v>
      </c>
      <c r="W117">
        <v>1</v>
      </c>
      <c r="X117">
        <v>0</v>
      </c>
      <c r="Y117" t="b">
        <v>0</v>
      </c>
      <c r="Z117" t="s">
        <v>434</v>
      </c>
      <c r="AA117" t="s">
        <v>41</v>
      </c>
      <c r="AB117" s="1">
        <v>44171.958333333336</v>
      </c>
      <c r="AC117" t="s">
        <v>42</v>
      </c>
      <c r="AD117" t="s">
        <v>43</v>
      </c>
      <c r="AE117" t="s">
        <v>436</v>
      </c>
    </row>
    <row r="118" spans="1:31" x14ac:dyDescent="0.3">
      <c r="A118">
        <v>120828</v>
      </c>
      <c r="B118" t="s">
        <v>437</v>
      </c>
      <c r="C118" t="s">
        <v>109</v>
      </c>
      <c r="D118" t="s">
        <v>110</v>
      </c>
      <c r="E118" t="s">
        <v>111</v>
      </c>
      <c r="I118" t="s">
        <v>156</v>
      </c>
      <c r="J118" t="s">
        <v>113</v>
      </c>
      <c r="K118" t="s">
        <v>157</v>
      </c>
      <c r="L118" t="s">
        <v>558</v>
      </c>
      <c r="M118" cm="1">
        <f t="array" ref="M118">Convert_Decimal(L118)</f>
        <v>73.768333333333331</v>
      </c>
      <c r="N118" t="s">
        <v>162</v>
      </c>
      <c r="P118">
        <v>936</v>
      </c>
      <c r="Q118" s="1">
        <v>43656.916666666664</v>
      </c>
      <c r="R118" s="1">
        <v>43670.916666666664</v>
      </c>
      <c r="S118" t="s">
        <v>116</v>
      </c>
      <c r="T118" t="s">
        <v>117</v>
      </c>
      <c r="U118" t="s">
        <v>432</v>
      </c>
      <c r="V118" t="s">
        <v>433</v>
      </c>
      <c r="W118">
        <v>1</v>
      </c>
      <c r="X118">
        <v>0</v>
      </c>
      <c r="Y118" t="b">
        <v>0</v>
      </c>
      <c r="Z118" t="s">
        <v>434</v>
      </c>
      <c r="AA118" t="s">
        <v>41</v>
      </c>
      <c r="AB118" s="1">
        <v>44171.958333333336</v>
      </c>
      <c r="AC118" t="s">
        <v>42</v>
      </c>
      <c r="AD118" t="s">
        <v>43</v>
      </c>
      <c r="AE118" t="s">
        <v>435</v>
      </c>
    </row>
    <row r="119" spans="1:31" x14ac:dyDescent="0.3">
      <c r="A119">
        <v>117682</v>
      </c>
      <c r="B119" t="s">
        <v>29</v>
      </c>
      <c r="C119" t="s">
        <v>30</v>
      </c>
      <c r="D119" t="s">
        <v>31</v>
      </c>
      <c r="E119" t="s">
        <v>32</v>
      </c>
      <c r="H119" t="s">
        <v>33</v>
      </c>
      <c r="I119" t="s">
        <v>34</v>
      </c>
      <c r="J119" t="s">
        <v>33</v>
      </c>
      <c r="K119" t="s">
        <v>33</v>
      </c>
      <c r="L119" t="s">
        <v>537</v>
      </c>
      <c r="M119" cm="1">
        <f t="array" ref="M119">Convert_Decimal(L119)</f>
        <v>41.613055555555555</v>
      </c>
      <c r="N119" t="s">
        <v>35</v>
      </c>
      <c r="P119">
        <v>340</v>
      </c>
      <c r="R119" s="1">
        <v>42137.916666666664</v>
      </c>
      <c r="S119" t="s">
        <v>36</v>
      </c>
      <c r="T119" t="s">
        <v>37</v>
      </c>
      <c r="U119" t="s">
        <v>438</v>
      </c>
      <c r="V119" t="s">
        <v>439</v>
      </c>
      <c r="W119">
        <v>4</v>
      </c>
      <c r="X119">
        <v>2</v>
      </c>
      <c r="Y119" t="b">
        <v>0</v>
      </c>
      <c r="Z119" t="s">
        <v>440</v>
      </c>
      <c r="AA119" t="s">
        <v>41</v>
      </c>
      <c r="AB119" s="1">
        <v>44054.916666666664</v>
      </c>
      <c r="AC119" t="s">
        <v>42</v>
      </c>
      <c r="AD119" t="s">
        <v>43</v>
      </c>
      <c r="AE119" t="s">
        <v>441</v>
      </c>
    </row>
    <row r="120" spans="1:31" x14ac:dyDescent="0.3">
      <c r="A120">
        <v>117649</v>
      </c>
      <c r="B120" t="s">
        <v>442</v>
      </c>
      <c r="C120" t="s">
        <v>30</v>
      </c>
      <c r="D120" t="s">
        <v>56</v>
      </c>
      <c r="E120" t="s">
        <v>57</v>
      </c>
      <c r="H120" t="s">
        <v>33</v>
      </c>
      <c r="I120" t="s">
        <v>443</v>
      </c>
      <c r="J120" t="s">
        <v>444</v>
      </c>
      <c r="K120" t="s">
        <v>33</v>
      </c>
      <c r="L120" t="s">
        <v>602</v>
      </c>
      <c r="M120" cm="1">
        <f t="array" ref="M120">Convert_Decimal(L120)</f>
        <v>42.412222222222219</v>
      </c>
      <c r="N120" t="s">
        <v>445</v>
      </c>
      <c r="P120">
        <v>1265</v>
      </c>
      <c r="R120" s="1">
        <v>41855.916666666664</v>
      </c>
      <c r="S120" t="s">
        <v>36</v>
      </c>
      <c r="T120" t="s">
        <v>259</v>
      </c>
      <c r="U120" t="s">
        <v>438</v>
      </c>
      <c r="V120" t="s">
        <v>439</v>
      </c>
      <c r="W120">
        <v>2</v>
      </c>
      <c r="X120">
        <v>0</v>
      </c>
      <c r="Y120" t="b">
        <v>0</v>
      </c>
      <c r="Z120" t="s">
        <v>440</v>
      </c>
      <c r="AA120" t="s">
        <v>41</v>
      </c>
      <c r="AB120" s="1">
        <v>44054.916666666664</v>
      </c>
      <c r="AC120" t="s">
        <v>42</v>
      </c>
      <c r="AD120" t="s">
        <v>43</v>
      </c>
      <c r="AE120" t="s">
        <v>441</v>
      </c>
    </row>
    <row r="121" spans="1:31" x14ac:dyDescent="0.3">
      <c r="A121">
        <v>118194</v>
      </c>
      <c r="B121" t="s">
        <v>446</v>
      </c>
      <c r="C121" t="s">
        <v>30</v>
      </c>
      <c r="D121" t="s">
        <v>78</v>
      </c>
      <c r="E121" t="s">
        <v>79</v>
      </c>
      <c r="H121" t="s">
        <v>447</v>
      </c>
      <c r="I121" t="s">
        <v>91</v>
      </c>
      <c r="J121" t="s">
        <v>33</v>
      </c>
      <c r="L121" t="s">
        <v>603</v>
      </c>
      <c r="M121" t="e" cm="1">
        <f t="array" ref="M121">Convert_Decimal(L121)</f>
        <v>#VALUE!</v>
      </c>
      <c r="N121" t="s">
        <v>448</v>
      </c>
      <c r="P121">
        <v>1030</v>
      </c>
      <c r="R121" s="1">
        <v>39703.916666666664</v>
      </c>
      <c r="S121" t="s">
        <v>36</v>
      </c>
      <c r="T121" t="s">
        <v>87</v>
      </c>
      <c r="U121" t="s">
        <v>449</v>
      </c>
      <c r="V121" t="s">
        <v>450</v>
      </c>
      <c r="W121">
        <v>1</v>
      </c>
      <c r="X121">
        <v>0</v>
      </c>
      <c r="Y121" t="b">
        <v>0</v>
      </c>
      <c r="Z121" t="s">
        <v>451</v>
      </c>
      <c r="AA121" t="s">
        <v>41</v>
      </c>
      <c r="AB121" s="1">
        <v>44051.916666666664</v>
      </c>
      <c r="AC121" t="s">
        <v>42</v>
      </c>
      <c r="AD121" t="s">
        <v>43</v>
      </c>
    </row>
    <row r="122" spans="1:31" x14ac:dyDescent="0.3">
      <c r="A122">
        <v>97362</v>
      </c>
      <c r="B122" t="s">
        <v>452</v>
      </c>
      <c r="C122" t="s">
        <v>184</v>
      </c>
      <c r="E122" t="s">
        <v>238</v>
      </c>
      <c r="F122" t="s">
        <v>239</v>
      </c>
      <c r="G122" t="s">
        <v>240</v>
      </c>
      <c r="H122" t="s">
        <v>241</v>
      </c>
      <c r="I122" t="s">
        <v>242</v>
      </c>
      <c r="J122" t="s">
        <v>33</v>
      </c>
      <c r="K122" t="s">
        <v>33</v>
      </c>
      <c r="L122" t="s">
        <v>573</v>
      </c>
      <c r="M122" cm="1">
        <f t="array" ref="M122">Convert_Decimal(L122)</f>
        <v>39.520000000000003</v>
      </c>
      <c r="N122" t="s">
        <v>243</v>
      </c>
      <c r="P122">
        <v>610</v>
      </c>
      <c r="R122" s="1">
        <v>41902.916666666664</v>
      </c>
      <c r="S122" t="s">
        <v>36</v>
      </c>
      <c r="T122" t="s">
        <v>259</v>
      </c>
      <c r="U122" t="s">
        <v>449</v>
      </c>
      <c r="V122" t="s">
        <v>450</v>
      </c>
      <c r="W122">
        <v>8</v>
      </c>
      <c r="X122">
        <v>0</v>
      </c>
      <c r="Y122" t="b">
        <v>0</v>
      </c>
      <c r="Z122" t="s">
        <v>453</v>
      </c>
      <c r="AA122" t="s">
        <v>41</v>
      </c>
      <c r="AB122" s="1">
        <v>42765.958333333336</v>
      </c>
      <c r="AC122" t="s">
        <v>42</v>
      </c>
      <c r="AD122" t="s">
        <v>43</v>
      </c>
      <c r="AE122" t="s">
        <v>253</v>
      </c>
    </row>
    <row r="123" spans="1:31" x14ac:dyDescent="0.3">
      <c r="A123">
        <v>97178</v>
      </c>
      <c r="B123" t="s">
        <v>454</v>
      </c>
      <c r="C123" t="s">
        <v>184</v>
      </c>
      <c r="E123" t="s">
        <v>246</v>
      </c>
      <c r="F123" t="s">
        <v>247</v>
      </c>
      <c r="G123" t="s">
        <v>248</v>
      </c>
      <c r="H123" t="s">
        <v>248</v>
      </c>
      <c r="I123" t="s">
        <v>455</v>
      </c>
      <c r="J123" t="s">
        <v>33</v>
      </c>
      <c r="K123" t="s">
        <v>33</v>
      </c>
      <c r="L123" t="s">
        <v>604</v>
      </c>
      <c r="M123" cm="1">
        <f t="array" ref="M123">Convert_Decimal(L123)</f>
        <v>40.586388888888891</v>
      </c>
      <c r="N123" t="s">
        <v>456</v>
      </c>
      <c r="P123">
        <v>751</v>
      </c>
      <c r="R123" s="1">
        <v>41538.916666666664</v>
      </c>
      <c r="S123" t="s">
        <v>36</v>
      </c>
      <c r="T123" t="s">
        <v>259</v>
      </c>
      <c r="U123" t="s">
        <v>449</v>
      </c>
      <c r="V123" t="s">
        <v>450</v>
      </c>
      <c r="W123">
        <v>1</v>
      </c>
      <c r="X123">
        <v>2</v>
      </c>
      <c r="Y123" t="b">
        <v>0</v>
      </c>
      <c r="Z123" t="s">
        <v>457</v>
      </c>
      <c r="AA123" t="s">
        <v>41</v>
      </c>
      <c r="AB123" s="1">
        <v>42765.958333333336</v>
      </c>
      <c r="AC123" t="s">
        <v>42</v>
      </c>
      <c r="AD123" t="s">
        <v>43</v>
      </c>
      <c r="AE123" t="s">
        <v>253</v>
      </c>
    </row>
    <row r="124" spans="1:31" x14ac:dyDescent="0.3">
      <c r="A124">
        <v>97199</v>
      </c>
      <c r="B124" t="s">
        <v>458</v>
      </c>
      <c r="C124" t="s">
        <v>184</v>
      </c>
      <c r="E124" t="s">
        <v>246</v>
      </c>
      <c r="F124" t="s">
        <v>247</v>
      </c>
      <c r="G124" t="s">
        <v>248</v>
      </c>
      <c r="H124" t="s">
        <v>459</v>
      </c>
      <c r="I124" t="s">
        <v>460</v>
      </c>
      <c r="J124" t="s">
        <v>33</v>
      </c>
      <c r="K124" t="s">
        <v>33</v>
      </c>
      <c r="L124" t="s">
        <v>605</v>
      </c>
      <c r="M124" cm="1">
        <f t="array" ref="M124">Convert_Decimal(L124)</f>
        <v>40.395555555555553</v>
      </c>
      <c r="N124" t="s">
        <v>461</v>
      </c>
      <c r="P124">
        <v>986</v>
      </c>
      <c r="R124" s="1">
        <v>41538.916666666664</v>
      </c>
      <c r="S124" t="s">
        <v>36</v>
      </c>
      <c r="T124" t="s">
        <v>37</v>
      </c>
      <c r="U124" t="s">
        <v>449</v>
      </c>
      <c r="V124" t="s">
        <v>450</v>
      </c>
      <c r="W124">
        <v>1</v>
      </c>
      <c r="X124">
        <v>1</v>
      </c>
      <c r="Y124" t="b">
        <v>0</v>
      </c>
      <c r="Z124" t="s">
        <v>462</v>
      </c>
      <c r="AA124" t="s">
        <v>41</v>
      </c>
      <c r="AB124" s="1">
        <v>42765.958333333336</v>
      </c>
      <c r="AC124" t="s">
        <v>42</v>
      </c>
      <c r="AD124" t="s">
        <v>43</v>
      </c>
      <c r="AE124" t="s">
        <v>463</v>
      </c>
    </row>
    <row r="125" spans="1:31" x14ac:dyDescent="0.3">
      <c r="A125">
        <v>97210</v>
      </c>
      <c r="B125" t="s">
        <v>464</v>
      </c>
      <c r="C125" t="s">
        <v>184</v>
      </c>
      <c r="E125" t="s">
        <v>246</v>
      </c>
      <c r="F125" t="s">
        <v>247</v>
      </c>
      <c r="G125" t="s">
        <v>248</v>
      </c>
      <c r="H125" t="s">
        <v>459</v>
      </c>
      <c r="I125" t="s">
        <v>460</v>
      </c>
      <c r="J125" t="s">
        <v>33</v>
      </c>
      <c r="K125" t="s">
        <v>33</v>
      </c>
      <c r="L125" t="s">
        <v>605</v>
      </c>
      <c r="M125" cm="1">
        <f t="array" ref="M125">Convert_Decimal(L125)</f>
        <v>40.395555555555553</v>
      </c>
      <c r="N125" t="s">
        <v>461</v>
      </c>
      <c r="P125">
        <v>986</v>
      </c>
      <c r="R125" s="1">
        <v>41538.916666666664</v>
      </c>
      <c r="S125" t="s">
        <v>36</v>
      </c>
      <c r="T125" t="s">
        <v>259</v>
      </c>
      <c r="U125" t="s">
        <v>449</v>
      </c>
      <c r="V125" t="s">
        <v>450</v>
      </c>
      <c r="W125">
        <v>0</v>
      </c>
      <c r="X125">
        <v>1</v>
      </c>
      <c r="Y125" t="b">
        <v>0</v>
      </c>
      <c r="Z125" t="s">
        <v>465</v>
      </c>
      <c r="AA125" t="s">
        <v>41</v>
      </c>
      <c r="AB125" s="1">
        <v>42765.958333333336</v>
      </c>
      <c r="AC125" t="s">
        <v>42</v>
      </c>
      <c r="AD125" t="s">
        <v>43</v>
      </c>
      <c r="AE125" t="s">
        <v>253</v>
      </c>
    </row>
    <row r="126" spans="1:31" x14ac:dyDescent="0.3">
      <c r="A126">
        <v>97213</v>
      </c>
      <c r="B126" t="s">
        <v>466</v>
      </c>
      <c r="C126" t="s">
        <v>184</v>
      </c>
      <c r="E126" t="s">
        <v>246</v>
      </c>
      <c r="F126" t="s">
        <v>247</v>
      </c>
      <c r="G126" t="s">
        <v>248</v>
      </c>
      <c r="H126" t="s">
        <v>459</v>
      </c>
      <c r="I126" t="s">
        <v>460</v>
      </c>
      <c r="J126" t="s">
        <v>467</v>
      </c>
      <c r="K126" t="s">
        <v>33</v>
      </c>
      <c r="L126" t="s">
        <v>606</v>
      </c>
      <c r="M126" cm="1">
        <f t="array" ref="M126">Convert_Decimal(L126)</f>
        <v>40.433888888888887</v>
      </c>
      <c r="N126" t="s">
        <v>468</v>
      </c>
      <c r="P126">
        <v>1450</v>
      </c>
      <c r="R126" s="1">
        <v>41538.916666666664</v>
      </c>
      <c r="S126" t="s">
        <v>36</v>
      </c>
      <c r="T126" t="s">
        <v>259</v>
      </c>
      <c r="U126" t="s">
        <v>449</v>
      </c>
      <c r="V126" t="s">
        <v>450</v>
      </c>
      <c r="W126">
        <v>0</v>
      </c>
      <c r="X126">
        <v>1</v>
      </c>
      <c r="Y126" t="b">
        <v>0</v>
      </c>
      <c r="Z126" t="s">
        <v>469</v>
      </c>
      <c r="AA126" t="s">
        <v>41</v>
      </c>
      <c r="AB126" s="1">
        <v>42765.958333333336</v>
      </c>
      <c r="AC126" t="s">
        <v>42</v>
      </c>
      <c r="AD126" t="s">
        <v>43</v>
      </c>
      <c r="AE126" t="s">
        <v>253</v>
      </c>
    </row>
    <row r="127" spans="1:31" x14ac:dyDescent="0.3">
      <c r="A127">
        <v>97193</v>
      </c>
      <c r="B127" t="s">
        <v>470</v>
      </c>
      <c r="C127" t="s">
        <v>184</v>
      </c>
      <c r="E127" t="s">
        <v>246</v>
      </c>
      <c r="F127" t="s">
        <v>247</v>
      </c>
      <c r="G127" t="s">
        <v>248</v>
      </c>
      <c r="H127" t="s">
        <v>459</v>
      </c>
      <c r="I127" t="s">
        <v>460</v>
      </c>
      <c r="J127" t="s">
        <v>471</v>
      </c>
      <c r="K127" t="s">
        <v>33</v>
      </c>
      <c r="L127" t="s">
        <v>607</v>
      </c>
      <c r="M127" cm="1">
        <f t="array" ref="M127">Convert_Decimal(L127)</f>
        <v>40.336111111111109</v>
      </c>
      <c r="N127" t="s">
        <v>472</v>
      </c>
      <c r="P127">
        <v>1539</v>
      </c>
      <c r="R127" s="1">
        <v>41537.916666666664</v>
      </c>
      <c r="S127" t="s">
        <v>36</v>
      </c>
      <c r="T127" t="s">
        <v>259</v>
      </c>
      <c r="U127" t="s">
        <v>449</v>
      </c>
      <c r="V127" t="s">
        <v>450</v>
      </c>
      <c r="W127">
        <v>0</v>
      </c>
      <c r="X127">
        <v>1</v>
      </c>
      <c r="Y127" t="b">
        <v>0</v>
      </c>
      <c r="Z127" t="s">
        <v>473</v>
      </c>
      <c r="AA127" t="s">
        <v>41</v>
      </c>
      <c r="AB127" s="1">
        <v>42765.958333333336</v>
      </c>
      <c r="AC127" t="s">
        <v>42</v>
      </c>
      <c r="AD127" t="s">
        <v>43</v>
      </c>
      <c r="AE127" t="s">
        <v>253</v>
      </c>
    </row>
    <row r="128" spans="1:31" x14ac:dyDescent="0.3">
      <c r="A128">
        <v>97240</v>
      </c>
      <c r="B128" t="s">
        <v>474</v>
      </c>
      <c r="C128" t="s">
        <v>184</v>
      </c>
      <c r="E128" t="s">
        <v>246</v>
      </c>
      <c r="F128" t="s">
        <v>247</v>
      </c>
      <c r="G128" t="s">
        <v>248</v>
      </c>
      <c r="H128" t="s">
        <v>255</v>
      </c>
      <c r="I128" t="s">
        <v>475</v>
      </c>
      <c r="J128" t="s">
        <v>33</v>
      </c>
      <c r="K128" t="s">
        <v>33</v>
      </c>
      <c r="L128" t="s">
        <v>608</v>
      </c>
      <c r="M128" cm="1">
        <f t="array" ref="M128">Convert_Decimal(L128)</f>
        <v>40.489166666666669</v>
      </c>
      <c r="N128" t="s">
        <v>476</v>
      </c>
      <c r="P128">
        <v>1547</v>
      </c>
      <c r="R128" s="1">
        <v>42244.916666666664</v>
      </c>
      <c r="S128" t="s">
        <v>36</v>
      </c>
      <c r="T128" t="s">
        <v>37</v>
      </c>
      <c r="U128" t="s">
        <v>449</v>
      </c>
      <c r="V128" t="s">
        <v>450</v>
      </c>
      <c r="W128">
        <v>0</v>
      </c>
      <c r="X128">
        <v>1</v>
      </c>
      <c r="Y128" t="b">
        <v>0</v>
      </c>
      <c r="Z128" t="s">
        <v>477</v>
      </c>
      <c r="AA128" t="s">
        <v>41</v>
      </c>
      <c r="AB128" s="1">
        <v>42765.958333333336</v>
      </c>
      <c r="AC128" t="s">
        <v>42</v>
      </c>
      <c r="AD128" t="s">
        <v>43</v>
      </c>
      <c r="AE128" t="s">
        <v>478</v>
      </c>
    </row>
    <row r="129" spans="1:31" x14ac:dyDescent="0.3">
      <c r="A129">
        <v>97282</v>
      </c>
      <c r="B129" t="s">
        <v>474</v>
      </c>
      <c r="C129" t="s">
        <v>184</v>
      </c>
      <c r="E129" t="s">
        <v>246</v>
      </c>
      <c r="F129" t="s">
        <v>247</v>
      </c>
      <c r="G129" t="s">
        <v>248</v>
      </c>
      <c r="H129" t="s">
        <v>255</v>
      </c>
      <c r="I129" t="s">
        <v>475</v>
      </c>
      <c r="J129" t="s">
        <v>33</v>
      </c>
      <c r="K129" t="s">
        <v>33</v>
      </c>
      <c r="L129" t="s">
        <v>608</v>
      </c>
      <c r="M129" cm="1">
        <f t="array" ref="M129">Convert_Decimal(L129)</f>
        <v>40.489166666666669</v>
      </c>
      <c r="N129" t="s">
        <v>476</v>
      </c>
      <c r="P129">
        <v>1547</v>
      </c>
      <c r="R129" s="1">
        <v>42244.916666666664</v>
      </c>
      <c r="S129" t="s">
        <v>36</v>
      </c>
      <c r="T129" t="s">
        <v>37</v>
      </c>
      <c r="U129" t="s">
        <v>449</v>
      </c>
      <c r="V129" t="s">
        <v>450</v>
      </c>
      <c r="W129">
        <v>1</v>
      </c>
      <c r="X129">
        <v>0</v>
      </c>
      <c r="Y129" t="b">
        <v>0</v>
      </c>
      <c r="Z129" t="s">
        <v>453</v>
      </c>
      <c r="AA129" t="s">
        <v>41</v>
      </c>
      <c r="AB129" s="1">
        <v>42765.958333333336</v>
      </c>
      <c r="AC129" t="s">
        <v>42</v>
      </c>
      <c r="AD129" t="s">
        <v>43</v>
      </c>
      <c r="AE129" t="s">
        <v>253</v>
      </c>
    </row>
    <row r="130" spans="1:31" x14ac:dyDescent="0.3">
      <c r="A130">
        <v>97275</v>
      </c>
      <c r="B130" t="s">
        <v>479</v>
      </c>
      <c r="C130" t="s">
        <v>184</v>
      </c>
      <c r="E130" t="s">
        <v>246</v>
      </c>
      <c r="F130" t="s">
        <v>247</v>
      </c>
      <c r="G130" t="s">
        <v>248</v>
      </c>
      <c r="H130" t="s">
        <v>255</v>
      </c>
      <c r="I130" t="s">
        <v>475</v>
      </c>
      <c r="J130" t="s">
        <v>480</v>
      </c>
      <c r="K130" t="s">
        <v>33</v>
      </c>
      <c r="L130" t="s">
        <v>609</v>
      </c>
      <c r="M130" cm="1">
        <f t="array" ref="M130">Convert_Decimal(L130)</f>
        <v>40.858055555555552</v>
      </c>
      <c r="N130" t="s">
        <v>481</v>
      </c>
      <c r="P130">
        <v>1004</v>
      </c>
      <c r="R130" s="1">
        <v>41885.916666666664</v>
      </c>
      <c r="S130" t="s">
        <v>36</v>
      </c>
      <c r="T130" t="s">
        <v>259</v>
      </c>
      <c r="U130" t="s">
        <v>449</v>
      </c>
      <c r="V130" t="s">
        <v>450</v>
      </c>
      <c r="W130">
        <v>1</v>
      </c>
      <c r="X130">
        <v>0</v>
      </c>
      <c r="Y130" t="b">
        <v>1</v>
      </c>
      <c r="Z130" t="s">
        <v>453</v>
      </c>
      <c r="AA130" t="s">
        <v>41</v>
      </c>
      <c r="AB130" s="1">
        <v>42765.958333333336</v>
      </c>
      <c r="AC130" t="s">
        <v>42</v>
      </c>
      <c r="AD130" t="s">
        <v>43</v>
      </c>
      <c r="AE130" t="s">
        <v>253</v>
      </c>
    </row>
    <row r="131" spans="1:31" x14ac:dyDescent="0.3">
      <c r="A131">
        <v>97304</v>
      </c>
      <c r="B131" t="s">
        <v>254</v>
      </c>
      <c r="C131" t="s">
        <v>184</v>
      </c>
      <c r="E131" t="s">
        <v>246</v>
      </c>
      <c r="F131" t="s">
        <v>247</v>
      </c>
      <c r="G131" t="s">
        <v>248</v>
      </c>
      <c r="H131" t="s">
        <v>255</v>
      </c>
      <c r="I131" t="s">
        <v>256</v>
      </c>
      <c r="J131" t="s">
        <v>257</v>
      </c>
      <c r="K131" t="s">
        <v>33</v>
      </c>
      <c r="L131" t="s">
        <v>575</v>
      </c>
      <c r="M131" cm="1">
        <f t="array" ref="M131">Convert_Decimal(L131)</f>
        <v>41.462777777777781</v>
      </c>
      <c r="N131" t="s">
        <v>258</v>
      </c>
      <c r="P131">
        <v>890</v>
      </c>
      <c r="R131" s="1">
        <v>41884.916666666664</v>
      </c>
      <c r="S131" t="s">
        <v>36</v>
      </c>
      <c r="T131" t="s">
        <v>259</v>
      </c>
      <c r="U131" t="s">
        <v>449</v>
      </c>
      <c r="V131" t="s">
        <v>450</v>
      </c>
      <c r="W131">
        <v>4</v>
      </c>
      <c r="X131">
        <v>0</v>
      </c>
      <c r="Y131" t="b">
        <v>0</v>
      </c>
      <c r="Z131" t="s">
        <v>453</v>
      </c>
      <c r="AA131" t="s">
        <v>41</v>
      </c>
      <c r="AB131" s="1">
        <v>42765.958333333336</v>
      </c>
      <c r="AC131" t="s">
        <v>42</v>
      </c>
      <c r="AD131" t="s">
        <v>43</v>
      </c>
      <c r="AE131" t="s">
        <v>253</v>
      </c>
    </row>
    <row r="132" spans="1:31" x14ac:dyDescent="0.3">
      <c r="A132">
        <v>98184</v>
      </c>
      <c r="B132" t="s">
        <v>254</v>
      </c>
      <c r="C132" t="s">
        <v>184</v>
      </c>
      <c r="E132" t="s">
        <v>246</v>
      </c>
      <c r="F132" t="s">
        <v>247</v>
      </c>
      <c r="G132" t="s">
        <v>248</v>
      </c>
      <c r="H132" t="s">
        <v>255</v>
      </c>
      <c r="I132" t="s">
        <v>256</v>
      </c>
      <c r="J132" t="s">
        <v>257</v>
      </c>
      <c r="K132" t="s">
        <v>33</v>
      </c>
      <c r="L132" t="s">
        <v>575</v>
      </c>
      <c r="M132" cm="1">
        <f t="array" ref="M132">Convert_Decimal(L132)</f>
        <v>41.462777777777781</v>
      </c>
      <c r="N132" t="s">
        <v>258</v>
      </c>
      <c r="P132">
        <v>890</v>
      </c>
      <c r="R132" s="1">
        <v>41884.916666666664</v>
      </c>
      <c r="S132" t="s">
        <v>36</v>
      </c>
      <c r="T132" t="s">
        <v>259</v>
      </c>
      <c r="U132" t="s">
        <v>449</v>
      </c>
      <c r="V132" t="s">
        <v>450</v>
      </c>
      <c r="W132">
        <v>0</v>
      </c>
      <c r="X132">
        <v>1</v>
      </c>
      <c r="Y132" t="b">
        <v>0</v>
      </c>
      <c r="Z132" t="s">
        <v>477</v>
      </c>
      <c r="AA132" t="s">
        <v>41</v>
      </c>
      <c r="AB132" s="1">
        <v>43246.916666666664</v>
      </c>
      <c r="AC132" t="s">
        <v>42</v>
      </c>
      <c r="AD132" t="s">
        <v>43</v>
      </c>
      <c r="AE132" t="s">
        <v>478</v>
      </c>
    </row>
    <row r="133" spans="1:31" x14ac:dyDescent="0.3">
      <c r="A133">
        <v>98050</v>
      </c>
      <c r="B133" t="s">
        <v>482</v>
      </c>
      <c r="C133" t="s">
        <v>184</v>
      </c>
      <c r="E133" t="s">
        <v>483</v>
      </c>
      <c r="F133" t="s">
        <v>484</v>
      </c>
      <c r="G133" t="s">
        <v>485</v>
      </c>
      <c r="H133" t="s">
        <v>486</v>
      </c>
      <c r="I133" t="s">
        <v>487</v>
      </c>
      <c r="J133" t="s">
        <v>488</v>
      </c>
      <c r="K133" t="s">
        <v>33</v>
      </c>
      <c r="L133" t="s">
        <v>610</v>
      </c>
      <c r="M133" cm="1">
        <f t="array" ref="M133">Convert_Decimal(L133)</f>
        <v>41.378611111111113</v>
      </c>
      <c r="N133" t="s">
        <v>489</v>
      </c>
      <c r="P133">
        <v>1645</v>
      </c>
      <c r="R133" s="1">
        <v>41883.916666666664</v>
      </c>
      <c r="S133" t="s">
        <v>49</v>
      </c>
      <c r="T133" t="s">
        <v>259</v>
      </c>
      <c r="U133" t="s">
        <v>449</v>
      </c>
      <c r="V133" t="s">
        <v>450</v>
      </c>
      <c r="W133">
        <v>1</v>
      </c>
      <c r="X133">
        <v>0</v>
      </c>
      <c r="Y133" t="b">
        <v>0</v>
      </c>
      <c r="Z133" t="s">
        <v>453</v>
      </c>
      <c r="AA133" t="s">
        <v>41</v>
      </c>
      <c r="AB133" s="1">
        <v>42765.958333333336</v>
      </c>
      <c r="AC133" t="s">
        <v>42</v>
      </c>
      <c r="AD133" t="s">
        <v>43</v>
      </c>
      <c r="AE133" t="s">
        <v>253</v>
      </c>
    </row>
    <row r="134" spans="1:31" x14ac:dyDescent="0.3">
      <c r="A134">
        <v>99751</v>
      </c>
      <c r="B134" t="s">
        <v>490</v>
      </c>
      <c r="C134" t="s">
        <v>184</v>
      </c>
      <c r="E134" t="s">
        <v>281</v>
      </c>
      <c r="F134" t="s">
        <v>282</v>
      </c>
      <c r="G134" t="s">
        <v>283</v>
      </c>
      <c r="H134" t="s">
        <v>292</v>
      </c>
      <c r="I134" t="s">
        <v>491</v>
      </c>
      <c r="J134" t="s">
        <v>492</v>
      </c>
      <c r="K134" t="s">
        <v>33</v>
      </c>
      <c r="L134" t="s">
        <v>611</v>
      </c>
      <c r="M134" cm="1">
        <f t="array" ref="M134">Convert_Decimal(L134)</f>
        <v>41.244166666666665</v>
      </c>
      <c r="N134" t="s">
        <v>493</v>
      </c>
      <c r="P134">
        <v>60</v>
      </c>
      <c r="Q134" s="1">
        <v>39947.916666666664</v>
      </c>
      <c r="R134" s="1">
        <v>39947.916666666664</v>
      </c>
      <c r="S134" t="s">
        <v>49</v>
      </c>
      <c r="T134" t="s">
        <v>37</v>
      </c>
      <c r="U134" t="s">
        <v>449</v>
      </c>
      <c r="V134" t="s">
        <v>450</v>
      </c>
      <c r="W134">
        <v>1</v>
      </c>
      <c r="X134">
        <v>0</v>
      </c>
      <c r="Y134" t="b">
        <v>0</v>
      </c>
      <c r="Z134" t="s">
        <v>494</v>
      </c>
      <c r="AA134" t="s">
        <v>41</v>
      </c>
      <c r="AB134" s="1">
        <v>40918.958333333336</v>
      </c>
      <c r="AC134" t="s">
        <v>42</v>
      </c>
      <c r="AD134" t="s">
        <v>43</v>
      </c>
    </row>
    <row r="135" spans="1:31" x14ac:dyDescent="0.3">
      <c r="A135">
        <v>96273</v>
      </c>
      <c r="B135" t="s">
        <v>490</v>
      </c>
      <c r="C135" t="s">
        <v>184</v>
      </c>
      <c r="E135" t="s">
        <v>281</v>
      </c>
      <c r="F135" t="s">
        <v>282</v>
      </c>
      <c r="G135" t="s">
        <v>283</v>
      </c>
      <c r="H135" t="s">
        <v>292</v>
      </c>
      <c r="I135" t="s">
        <v>491</v>
      </c>
      <c r="J135" t="s">
        <v>492</v>
      </c>
      <c r="K135" t="s">
        <v>33</v>
      </c>
      <c r="L135" t="s">
        <v>611</v>
      </c>
      <c r="M135" cm="1">
        <f t="array" ref="M135">Convert_Decimal(L135)</f>
        <v>41.244166666666665</v>
      </c>
      <c r="N135" t="s">
        <v>493</v>
      </c>
      <c r="P135">
        <v>60</v>
      </c>
      <c r="Q135" s="1">
        <v>39947.916666666664</v>
      </c>
      <c r="R135" s="1">
        <v>39947.916666666664</v>
      </c>
      <c r="S135" t="s">
        <v>49</v>
      </c>
      <c r="T135" t="s">
        <v>37</v>
      </c>
      <c r="U135" t="s">
        <v>449</v>
      </c>
      <c r="V135" t="s">
        <v>450</v>
      </c>
      <c r="W135">
        <v>1</v>
      </c>
      <c r="X135">
        <v>4</v>
      </c>
      <c r="Y135" t="b">
        <v>0</v>
      </c>
      <c r="Z135" t="s">
        <v>495</v>
      </c>
      <c r="AA135" t="s">
        <v>41</v>
      </c>
      <c r="AB135" s="1">
        <v>40918.958333333336</v>
      </c>
      <c r="AC135" t="s">
        <v>42</v>
      </c>
      <c r="AD135" t="s">
        <v>43</v>
      </c>
      <c r="AE135" t="s">
        <v>496</v>
      </c>
    </row>
    <row r="136" spans="1:31" x14ac:dyDescent="0.3">
      <c r="A136">
        <v>97535</v>
      </c>
      <c r="B136" t="s">
        <v>497</v>
      </c>
      <c r="C136" t="s">
        <v>184</v>
      </c>
      <c r="E136" t="s">
        <v>281</v>
      </c>
      <c r="F136" t="s">
        <v>282</v>
      </c>
      <c r="G136" t="s">
        <v>283</v>
      </c>
      <c r="H136" t="s">
        <v>292</v>
      </c>
      <c r="I136" t="s">
        <v>491</v>
      </c>
      <c r="J136" t="s">
        <v>492</v>
      </c>
      <c r="K136" t="s">
        <v>33</v>
      </c>
      <c r="L136" t="s">
        <v>611</v>
      </c>
      <c r="M136" cm="1">
        <f t="array" ref="M136">Convert_Decimal(L136)</f>
        <v>41.244166666666665</v>
      </c>
      <c r="N136" t="s">
        <v>493</v>
      </c>
      <c r="P136">
        <v>60</v>
      </c>
      <c r="R136" s="1">
        <v>41425.916666666664</v>
      </c>
      <c r="S136" t="s">
        <v>36</v>
      </c>
      <c r="T136" t="s">
        <v>37</v>
      </c>
      <c r="U136" t="s">
        <v>449</v>
      </c>
      <c r="V136" t="s">
        <v>450</v>
      </c>
      <c r="W136">
        <v>1</v>
      </c>
      <c r="X136">
        <v>0</v>
      </c>
      <c r="Y136" t="b">
        <v>0</v>
      </c>
      <c r="Z136" t="s">
        <v>498</v>
      </c>
      <c r="AA136" t="s">
        <v>41</v>
      </c>
      <c r="AB136" s="1">
        <v>42765.958333333336</v>
      </c>
      <c r="AC136" t="s">
        <v>42</v>
      </c>
      <c r="AD136" t="s">
        <v>43</v>
      </c>
      <c r="AE136" t="s">
        <v>253</v>
      </c>
    </row>
    <row r="137" spans="1:31" x14ac:dyDescent="0.3">
      <c r="A137">
        <v>98057</v>
      </c>
      <c r="B137" t="s">
        <v>499</v>
      </c>
      <c r="C137" t="s">
        <v>184</v>
      </c>
      <c r="E137" t="s">
        <v>322</v>
      </c>
      <c r="F137" t="s">
        <v>500</v>
      </c>
      <c r="G137" t="s">
        <v>501</v>
      </c>
      <c r="H137" t="s">
        <v>502</v>
      </c>
      <c r="I137" t="s">
        <v>503</v>
      </c>
      <c r="J137" t="s">
        <v>504</v>
      </c>
      <c r="K137" t="s">
        <v>33</v>
      </c>
      <c r="L137" t="s">
        <v>612</v>
      </c>
      <c r="M137" cm="1">
        <f t="array" ref="M137">Convert_Decimal(L137)</f>
        <v>42.107777777777777</v>
      </c>
      <c r="N137" t="s">
        <v>505</v>
      </c>
      <c r="P137">
        <v>980</v>
      </c>
      <c r="R137" s="1">
        <v>42622.916666666664</v>
      </c>
      <c r="S137" t="s">
        <v>36</v>
      </c>
      <c r="T137" t="s">
        <v>37</v>
      </c>
      <c r="U137" t="s">
        <v>449</v>
      </c>
      <c r="V137" t="s">
        <v>450</v>
      </c>
      <c r="W137">
        <v>2</v>
      </c>
      <c r="X137">
        <v>0</v>
      </c>
      <c r="Y137" t="b">
        <v>0</v>
      </c>
      <c r="Z137" t="s">
        <v>453</v>
      </c>
      <c r="AA137" t="s">
        <v>41</v>
      </c>
      <c r="AB137" s="1">
        <v>42765.958333333336</v>
      </c>
      <c r="AC137" t="s">
        <v>42</v>
      </c>
      <c r="AD137" t="s">
        <v>43</v>
      </c>
      <c r="AE137" t="s">
        <v>253</v>
      </c>
    </row>
    <row r="138" spans="1:31" x14ac:dyDescent="0.3">
      <c r="A138">
        <v>98055</v>
      </c>
      <c r="B138" t="s">
        <v>499</v>
      </c>
      <c r="C138" t="s">
        <v>184</v>
      </c>
      <c r="E138" t="s">
        <v>322</v>
      </c>
      <c r="F138" t="s">
        <v>500</v>
      </c>
      <c r="G138" t="s">
        <v>501</v>
      </c>
      <c r="H138" t="s">
        <v>502</v>
      </c>
      <c r="I138" t="s">
        <v>503</v>
      </c>
      <c r="J138" t="s">
        <v>504</v>
      </c>
      <c r="K138" t="s">
        <v>33</v>
      </c>
      <c r="L138" t="s">
        <v>612</v>
      </c>
      <c r="M138" cm="1">
        <f t="array" ref="M138">Convert_Decimal(L138)</f>
        <v>42.107777777777777</v>
      </c>
      <c r="N138" t="s">
        <v>505</v>
      </c>
      <c r="P138">
        <v>980</v>
      </c>
      <c r="R138" s="1">
        <v>42622.916666666664</v>
      </c>
      <c r="S138" t="s">
        <v>36</v>
      </c>
      <c r="T138" t="s">
        <v>37</v>
      </c>
      <c r="U138" t="s">
        <v>449</v>
      </c>
      <c r="V138" t="s">
        <v>450</v>
      </c>
      <c r="W138">
        <v>0</v>
      </c>
      <c r="X138">
        <v>1</v>
      </c>
      <c r="Y138" t="b">
        <v>1</v>
      </c>
      <c r="Z138" t="s">
        <v>506</v>
      </c>
      <c r="AA138" t="s">
        <v>41</v>
      </c>
      <c r="AB138" s="1">
        <v>42765.958333333336</v>
      </c>
      <c r="AC138" t="s">
        <v>42</v>
      </c>
      <c r="AD138" t="s">
        <v>43</v>
      </c>
      <c r="AE138" t="s">
        <v>507</v>
      </c>
    </row>
    <row r="139" spans="1:31" x14ac:dyDescent="0.3">
      <c r="A139">
        <v>96777</v>
      </c>
      <c r="B139" t="s">
        <v>508</v>
      </c>
      <c r="C139" t="s">
        <v>184</v>
      </c>
      <c r="E139" t="s">
        <v>371</v>
      </c>
      <c r="F139" t="s">
        <v>372</v>
      </c>
      <c r="G139" t="s">
        <v>373</v>
      </c>
      <c r="H139" t="s">
        <v>373</v>
      </c>
      <c r="I139" t="s">
        <v>509</v>
      </c>
      <c r="J139" t="s">
        <v>33</v>
      </c>
      <c r="K139" t="s">
        <v>33</v>
      </c>
      <c r="L139" t="s">
        <v>613</v>
      </c>
      <c r="M139" cm="1">
        <f t="array" ref="M139">Convert_Decimal(L139)</f>
        <v>41.893611111111113</v>
      </c>
      <c r="N139" t="s">
        <v>510</v>
      </c>
      <c r="P139">
        <v>916</v>
      </c>
      <c r="R139" s="1">
        <v>42173.916666666664</v>
      </c>
      <c r="S139" t="s">
        <v>36</v>
      </c>
      <c r="T139" t="s">
        <v>37</v>
      </c>
      <c r="U139" t="s">
        <v>449</v>
      </c>
      <c r="V139" t="s">
        <v>450</v>
      </c>
      <c r="W139">
        <v>1</v>
      </c>
      <c r="X139">
        <v>0</v>
      </c>
      <c r="Y139" t="b">
        <v>0</v>
      </c>
      <c r="Z139" t="s">
        <v>511</v>
      </c>
      <c r="AA139" t="s">
        <v>41</v>
      </c>
      <c r="AB139" s="1">
        <v>42765.958333333336</v>
      </c>
      <c r="AC139" t="s">
        <v>42</v>
      </c>
      <c r="AD139" t="s">
        <v>43</v>
      </c>
      <c r="AE139" t="s">
        <v>253</v>
      </c>
    </row>
    <row r="140" spans="1:31" x14ac:dyDescent="0.3">
      <c r="A140">
        <v>96773</v>
      </c>
      <c r="B140" t="s">
        <v>508</v>
      </c>
      <c r="C140" t="s">
        <v>184</v>
      </c>
      <c r="E140" t="s">
        <v>371</v>
      </c>
      <c r="F140" t="s">
        <v>372</v>
      </c>
      <c r="G140" t="s">
        <v>373</v>
      </c>
      <c r="H140" t="s">
        <v>373</v>
      </c>
      <c r="I140" t="s">
        <v>509</v>
      </c>
      <c r="J140" t="s">
        <v>33</v>
      </c>
      <c r="K140" t="s">
        <v>33</v>
      </c>
      <c r="L140" t="s">
        <v>613</v>
      </c>
      <c r="M140" cm="1">
        <f t="array" ref="M140">Convert_Decimal(L140)</f>
        <v>41.893611111111113</v>
      </c>
      <c r="N140" t="s">
        <v>510</v>
      </c>
      <c r="P140">
        <v>916</v>
      </c>
      <c r="R140" s="1">
        <v>42173.916666666664</v>
      </c>
      <c r="S140" t="s">
        <v>36</v>
      </c>
      <c r="T140" t="s">
        <v>37</v>
      </c>
      <c r="U140" t="s">
        <v>449</v>
      </c>
      <c r="V140" t="s">
        <v>450</v>
      </c>
      <c r="W140">
        <v>0</v>
      </c>
      <c r="X140">
        <v>2</v>
      </c>
      <c r="Y140" t="b">
        <v>0</v>
      </c>
      <c r="Z140" t="s">
        <v>477</v>
      </c>
      <c r="AA140" t="s">
        <v>41</v>
      </c>
      <c r="AB140" s="1">
        <v>42765.958333333336</v>
      </c>
      <c r="AC140" t="s">
        <v>42</v>
      </c>
      <c r="AD140" t="s">
        <v>43</v>
      </c>
      <c r="AE140" t="s">
        <v>512</v>
      </c>
    </row>
    <row r="141" spans="1:31" x14ac:dyDescent="0.3">
      <c r="A141">
        <v>96888</v>
      </c>
      <c r="B141" t="s">
        <v>513</v>
      </c>
      <c r="C141" t="s">
        <v>184</v>
      </c>
      <c r="E141" t="s">
        <v>371</v>
      </c>
      <c r="F141" t="s">
        <v>372</v>
      </c>
      <c r="G141" t="s">
        <v>373</v>
      </c>
      <c r="H141" t="s">
        <v>373</v>
      </c>
      <c r="I141" t="s">
        <v>514</v>
      </c>
      <c r="J141" t="s">
        <v>515</v>
      </c>
      <c r="K141" t="s">
        <v>33</v>
      </c>
      <c r="L141" t="s">
        <v>614</v>
      </c>
      <c r="M141" cm="1">
        <f t="array" ref="M141">Convert_Decimal(L141)</f>
        <v>42.024999999999999</v>
      </c>
      <c r="N141" t="s">
        <v>516</v>
      </c>
      <c r="P141">
        <v>1049</v>
      </c>
      <c r="R141" s="1">
        <v>41857.916666666664</v>
      </c>
      <c r="S141" t="s">
        <v>36</v>
      </c>
      <c r="T141" t="s">
        <v>37</v>
      </c>
      <c r="U141" t="s">
        <v>449</v>
      </c>
      <c r="V141" t="s">
        <v>450</v>
      </c>
      <c r="W141">
        <v>2</v>
      </c>
      <c r="X141">
        <v>0</v>
      </c>
      <c r="Y141" t="b">
        <v>0</v>
      </c>
      <c r="Z141" t="s">
        <v>517</v>
      </c>
      <c r="AA141" t="s">
        <v>41</v>
      </c>
      <c r="AB141" s="1">
        <v>42765.958333333336</v>
      </c>
      <c r="AC141" t="s">
        <v>42</v>
      </c>
      <c r="AD141" t="s">
        <v>43</v>
      </c>
      <c r="AE141" t="s">
        <v>253</v>
      </c>
    </row>
    <row r="142" spans="1:31" x14ac:dyDescent="0.3">
      <c r="A142">
        <v>98023</v>
      </c>
      <c r="B142" t="s">
        <v>412</v>
      </c>
      <c r="C142" t="s">
        <v>184</v>
      </c>
      <c r="E142" t="s">
        <v>371</v>
      </c>
      <c r="F142" t="s">
        <v>372</v>
      </c>
      <c r="G142" t="s">
        <v>373</v>
      </c>
      <c r="H142" t="s">
        <v>408</v>
      </c>
      <c r="I142" t="s">
        <v>409</v>
      </c>
      <c r="J142" t="s">
        <v>413</v>
      </c>
      <c r="K142" t="s">
        <v>33</v>
      </c>
      <c r="L142" t="s">
        <v>598</v>
      </c>
      <c r="M142" cm="1">
        <f t="array" ref="M142">Convert_Decimal(L142)</f>
        <v>41.628888888888888</v>
      </c>
      <c r="N142" t="s">
        <v>414</v>
      </c>
      <c r="P142">
        <v>575</v>
      </c>
      <c r="R142" s="1">
        <v>42281.916666666664</v>
      </c>
      <c r="S142" t="s">
        <v>36</v>
      </c>
      <c r="T142" t="s">
        <v>61</v>
      </c>
      <c r="U142" t="s">
        <v>449</v>
      </c>
      <c r="V142" t="s">
        <v>450</v>
      </c>
      <c r="W142">
        <v>1</v>
      </c>
      <c r="X142">
        <v>0</v>
      </c>
      <c r="Y142" t="b">
        <v>0</v>
      </c>
      <c r="Z142" t="s">
        <v>453</v>
      </c>
      <c r="AA142" t="s">
        <v>41</v>
      </c>
      <c r="AB142" s="1">
        <v>42765.958333333336</v>
      </c>
      <c r="AC142" t="s">
        <v>42</v>
      </c>
      <c r="AD142" t="s">
        <v>43</v>
      </c>
      <c r="AE142" t="s">
        <v>253</v>
      </c>
    </row>
    <row r="143" spans="1:31" x14ac:dyDescent="0.3">
      <c r="A143">
        <v>97644</v>
      </c>
      <c r="B143" t="s">
        <v>518</v>
      </c>
      <c r="C143" t="s">
        <v>184</v>
      </c>
      <c r="E143" t="s">
        <v>371</v>
      </c>
      <c r="F143" t="s">
        <v>419</v>
      </c>
      <c r="G143" t="s">
        <v>420</v>
      </c>
      <c r="H143" t="s">
        <v>421</v>
      </c>
      <c r="I143" t="s">
        <v>519</v>
      </c>
      <c r="J143" t="s">
        <v>33</v>
      </c>
      <c r="K143" t="s">
        <v>33</v>
      </c>
      <c r="L143" t="s">
        <v>615</v>
      </c>
      <c r="M143" cm="1">
        <f t="array" ref="M143">Convert_Decimal(L143)</f>
        <v>41.518611111111113</v>
      </c>
      <c r="N143" t="s">
        <v>520</v>
      </c>
      <c r="P143">
        <v>695</v>
      </c>
      <c r="R143" s="1">
        <v>41450.916666666664</v>
      </c>
      <c r="S143" t="s">
        <v>36</v>
      </c>
      <c r="T143" t="s">
        <v>37</v>
      </c>
      <c r="U143" t="s">
        <v>449</v>
      </c>
      <c r="V143" t="s">
        <v>450</v>
      </c>
      <c r="W143">
        <v>0</v>
      </c>
      <c r="X143">
        <v>1</v>
      </c>
      <c r="Y143" t="b">
        <v>0</v>
      </c>
      <c r="Z143" t="s">
        <v>477</v>
      </c>
      <c r="AA143" t="s">
        <v>41</v>
      </c>
      <c r="AB143" s="1">
        <v>42765.958333333336</v>
      </c>
      <c r="AC143" t="s">
        <v>42</v>
      </c>
      <c r="AD143" t="s">
        <v>43</v>
      </c>
      <c r="AE143" t="s">
        <v>253</v>
      </c>
    </row>
    <row r="144" spans="1:31" x14ac:dyDescent="0.3">
      <c r="A144">
        <v>97668</v>
      </c>
      <c r="B144" t="s">
        <v>418</v>
      </c>
      <c r="C144" t="s">
        <v>184</v>
      </c>
      <c r="E144" t="s">
        <v>371</v>
      </c>
      <c r="F144" t="s">
        <v>419</v>
      </c>
      <c r="G144" t="s">
        <v>420</v>
      </c>
      <c r="H144" t="s">
        <v>421</v>
      </c>
      <c r="I144" t="s">
        <v>422</v>
      </c>
      <c r="J144" t="s">
        <v>423</v>
      </c>
      <c r="K144" t="s">
        <v>33</v>
      </c>
      <c r="L144" t="s">
        <v>599</v>
      </c>
      <c r="M144" cm="1">
        <f t="array" ref="M144">Convert_Decimal(L144)</f>
        <v>41.488888888888887</v>
      </c>
      <c r="N144" t="s">
        <v>424</v>
      </c>
      <c r="P144">
        <v>750</v>
      </c>
      <c r="R144" s="1">
        <v>41449.916666666664</v>
      </c>
      <c r="S144" t="s">
        <v>36</v>
      </c>
      <c r="T144" t="s">
        <v>37</v>
      </c>
      <c r="U144" t="s">
        <v>449</v>
      </c>
      <c r="V144" t="s">
        <v>450</v>
      </c>
      <c r="W144">
        <v>2</v>
      </c>
      <c r="X144">
        <v>0</v>
      </c>
      <c r="Y144" t="b">
        <v>0</v>
      </c>
      <c r="Z144" t="s">
        <v>453</v>
      </c>
      <c r="AA144" t="s">
        <v>41</v>
      </c>
      <c r="AB144" s="1">
        <v>42765.958333333336</v>
      </c>
      <c r="AC144" t="s">
        <v>42</v>
      </c>
      <c r="AD144" t="s">
        <v>43</v>
      </c>
      <c r="AE144" t="s">
        <v>253</v>
      </c>
    </row>
    <row r="145" spans="1:31" x14ac:dyDescent="0.3">
      <c r="A145">
        <v>97676</v>
      </c>
      <c r="B145" t="s">
        <v>425</v>
      </c>
      <c r="C145" t="s">
        <v>184</v>
      </c>
      <c r="E145" t="s">
        <v>371</v>
      </c>
      <c r="F145" t="s">
        <v>419</v>
      </c>
      <c r="G145" t="s">
        <v>420</v>
      </c>
      <c r="H145" t="s">
        <v>426</v>
      </c>
      <c r="I145" t="s">
        <v>427</v>
      </c>
      <c r="J145" t="s">
        <v>33</v>
      </c>
      <c r="K145" t="s">
        <v>33</v>
      </c>
      <c r="L145" t="s">
        <v>600</v>
      </c>
      <c r="M145" cm="1">
        <f t="array" ref="M145">Convert_Decimal(L145)</f>
        <v>41.951944444444443</v>
      </c>
      <c r="N145" t="s">
        <v>428</v>
      </c>
      <c r="P145">
        <v>965</v>
      </c>
      <c r="R145" s="1">
        <v>41161.916666666664</v>
      </c>
      <c r="S145" t="s">
        <v>36</v>
      </c>
      <c r="T145" t="s">
        <v>37</v>
      </c>
      <c r="U145" t="s">
        <v>449</v>
      </c>
      <c r="V145" t="s">
        <v>450</v>
      </c>
      <c r="W145">
        <v>1</v>
      </c>
      <c r="X145">
        <v>0</v>
      </c>
      <c r="Y145" t="b">
        <v>0</v>
      </c>
      <c r="Z145" t="s">
        <v>453</v>
      </c>
      <c r="AA145" t="s">
        <v>41</v>
      </c>
      <c r="AB145" s="1">
        <v>42765.958333333336</v>
      </c>
      <c r="AC145" t="s">
        <v>42</v>
      </c>
      <c r="AD145" t="s">
        <v>43</v>
      </c>
      <c r="AE145" t="s">
        <v>253</v>
      </c>
    </row>
    <row r="146" spans="1:31" x14ac:dyDescent="0.3">
      <c r="A146">
        <v>118191</v>
      </c>
      <c r="B146" t="s">
        <v>521</v>
      </c>
      <c r="C146" t="s">
        <v>210</v>
      </c>
      <c r="D146" t="s">
        <v>211</v>
      </c>
      <c r="E146" t="s">
        <v>212</v>
      </c>
      <c r="H146" t="s">
        <v>33</v>
      </c>
      <c r="I146" t="s">
        <v>220</v>
      </c>
      <c r="J146" t="s">
        <v>522</v>
      </c>
      <c r="K146" t="s">
        <v>222</v>
      </c>
      <c r="L146" t="s">
        <v>616</v>
      </c>
      <c r="M146" t="e" cm="1">
        <f t="array" ref="M146">Convert_Decimal(L146)</f>
        <v>#VALUE!</v>
      </c>
      <c r="N146" t="s">
        <v>523</v>
      </c>
      <c r="P146">
        <v>700</v>
      </c>
      <c r="Q146" s="1">
        <v>38518.916666666664</v>
      </c>
      <c r="R146" s="1">
        <v>38546.916666666664</v>
      </c>
      <c r="S146" t="s">
        <v>116</v>
      </c>
      <c r="T146" t="s">
        <v>217</v>
      </c>
      <c r="U146" t="s">
        <v>524</v>
      </c>
      <c r="V146" t="s">
        <v>525</v>
      </c>
      <c r="W146">
        <v>1</v>
      </c>
      <c r="X146">
        <v>0</v>
      </c>
      <c r="Y146" t="b">
        <v>0</v>
      </c>
      <c r="Z146" t="s">
        <v>526</v>
      </c>
      <c r="AA146" t="s">
        <v>41</v>
      </c>
      <c r="AB146" s="1">
        <v>41454.916666666664</v>
      </c>
      <c r="AC146" t="s">
        <v>42</v>
      </c>
      <c r="AD146" t="s">
        <v>43</v>
      </c>
      <c r="AE146" t="s">
        <v>527</v>
      </c>
    </row>
    <row r="147" spans="1:31" x14ac:dyDescent="0.3">
      <c r="A147">
        <v>118170</v>
      </c>
      <c r="B147" t="s">
        <v>521</v>
      </c>
      <c r="C147" t="s">
        <v>210</v>
      </c>
      <c r="D147" t="s">
        <v>211</v>
      </c>
      <c r="E147" t="s">
        <v>212</v>
      </c>
      <c r="H147" t="s">
        <v>33</v>
      </c>
      <c r="I147" t="s">
        <v>220</v>
      </c>
      <c r="J147" t="s">
        <v>522</v>
      </c>
      <c r="K147" t="s">
        <v>222</v>
      </c>
      <c r="L147" t="s">
        <v>616</v>
      </c>
      <c r="M147" t="e" cm="1">
        <f t="array" ref="M147">Convert_Decimal(L147)</f>
        <v>#VALUE!</v>
      </c>
      <c r="N147" t="s">
        <v>523</v>
      </c>
      <c r="P147">
        <v>700</v>
      </c>
      <c r="Q147" s="1">
        <v>38518.916666666664</v>
      </c>
      <c r="R147" s="1">
        <v>38546.916666666664</v>
      </c>
      <c r="S147" t="s">
        <v>116</v>
      </c>
      <c r="T147" t="s">
        <v>217</v>
      </c>
      <c r="U147" t="s">
        <v>524</v>
      </c>
      <c r="V147" t="s">
        <v>525</v>
      </c>
      <c r="W147">
        <v>1</v>
      </c>
      <c r="X147">
        <v>0</v>
      </c>
      <c r="Y147" t="b">
        <v>0</v>
      </c>
      <c r="Z147" t="s">
        <v>526</v>
      </c>
      <c r="AA147" t="s">
        <v>41</v>
      </c>
      <c r="AB147" s="1">
        <v>41454.916666666664</v>
      </c>
      <c r="AC147" t="s">
        <v>42</v>
      </c>
      <c r="AD147" t="s">
        <v>43</v>
      </c>
      <c r="AE147" t="s">
        <v>527</v>
      </c>
    </row>
    <row r="148" spans="1:31" x14ac:dyDescent="0.3">
      <c r="A148">
        <v>118161</v>
      </c>
      <c r="B148" t="s">
        <v>528</v>
      </c>
      <c r="C148" t="s">
        <v>210</v>
      </c>
      <c r="D148" t="s">
        <v>211</v>
      </c>
      <c r="E148" t="s">
        <v>212</v>
      </c>
      <c r="H148" t="s">
        <v>33</v>
      </c>
      <c r="I148" t="s">
        <v>220</v>
      </c>
      <c r="J148" t="s">
        <v>522</v>
      </c>
      <c r="K148" t="s">
        <v>222</v>
      </c>
      <c r="L148" t="s">
        <v>616</v>
      </c>
      <c r="M148" t="e" cm="1">
        <f t="array" ref="M148">Convert_Decimal(L148)</f>
        <v>#VALUE!</v>
      </c>
      <c r="N148" t="s">
        <v>523</v>
      </c>
      <c r="P148">
        <v>700</v>
      </c>
      <c r="Q148" s="1">
        <v>38546.916666666664</v>
      </c>
      <c r="R148" s="1">
        <v>38568.916666666664</v>
      </c>
      <c r="S148" t="s">
        <v>116</v>
      </c>
      <c r="T148" t="s">
        <v>217</v>
      </c>
      <c r="U148" t="s">
        <v>524</v>
      </c>
      <c r="V148" t="s">
        <v>525</v>
      </c>
      <c r="W148">
        <v>1</v>
      </c>
      <c r="X148">
        <v>0</v>
      </c>
      <c r="Y148" t="b">
        <v>1</v>
      </c>
      <c r="Z148" t="s">
        <v>526</v>
      </c>
      <c r="AA148" t="s">
        <v>41</v>
      </c>
      <c r="AB148" s="1">
        <v>41454.916666666664</v>
      </c>
      <c r="AC148" t="s">
        <v>42</v>
      </c>
      <c r="AD148" t="s">
        <v>43</v>
      </c>
      <c r="AE148" t="s">
        <v>527</v>
      </c>
    </row>
    <row r="149" spans="1:31" x14ac:dyDescent="0.3">
      <c r="A149">
        <v>118138</v>
      </c>
      <c r="B149" t="s">
        <v>529</v>
      </c>
      <c r="C149" t="s">
        <v>30</v>
      </c>
      <c r="D149" t="s">
        <v>56</v>
      </c>
      <c r="E149" t="s">
        <v>57</v>
      </c>
      <c r="H149" t="s">
        <v>33</v>
      </c>
      <c r="I149" t="s">
        <v>58</v>
      </c>
      <c r="J149" t="s">
        <v>530</v>
      </c>
      <c r="K149" t="s">
        <v>33</v>
      </c>
      <c r="L149" t="s">
        <v>617</v>
      </c>
      <c r="M149" cm="1">
        <f t="array" ref="M149">Convert_Decimal(L149)</f>
        <v>42.429444444444442</v>
      </c>
      <c r="N149" t="s">
        <v>531</v>
      </c>
      <c r="P149">
        <v>1560</v>
      </c>
      <c r="R149" s="1">
        <v>41854.916666666664</v>
      </c>
      <c r="S149" t="s">
        <v>36</v>
      </c>
      <c r="T149" t="s">
        <v>37</v>
      </c>
      <c r="U149" t="s">
        <v>532</v>
      </c>
      <c r="V149" t="s">
        <v>533</v>
      </c>
      <c r="W149">
        <v>2</v>
      </c>
      <c r="X149">
        <v>1</v>
      </c>
      <c r="Y149" t="b">
        <v>0</v>
      </c>
      <c r="Z149" t="s">
        <v>534</v>
      </c>
      <c r="AA149" t="s">
        <v>41</v>
      </c>
      <c r="AB149" s="1">
        <v>44054.916666666664</v>
      </c>
      <c r="AC149" t="s">
        <v>42</v>
      </c>
      <c r="AD149" t="s">
        <v>43</v>
      </c>
      <c r="AE149" t="s">
        <v>535</v>
      </c>
    </row>
    <row r="150" spans="1:31" x14ac:dyDescent="0.3">
      <c r="A150">
        <v>118124</v>
      </c>
      <c r="B150" t="s">
        <v>536</v>
      </c>
      <c r="C150" t="s">
        <v>30</v>
      </c>
      <c r="D150" t="s">
        <v>56</v>
      </c>
      <c r="E150" t="s">
        <v>57</v>
      </c>
      <c r="H150" t="s">
        <v>33</v>
      </c>
      <c r="I150" t="s">
        <v>58</v>
      </c>
      <c r="J150" t="s">
        <v>59</v>
      </c>
      <c r="K150" t="s">
        <v>33</v>
      </c>
      <c r="L150" t="s">
        <v>540</v>
      </c>
      <c r="M150" cm="1">
        <f t="array" ref="M150">Convert_Decimal(L150)</f>
        <v>42.46</v>
      </c>
      <c r="N150" t="s">
        <v>60</v>
      </c>
      <c r="P150">
        <v>1410</v>
      </c>
      <c r="R150" s="1">
        <v>41853.916666666664</v>
      </c>
      <c r="S150" t="s">
        <v>36</v>
      </c>
      <c r="T150" t="s">
        <v>61</v>
      </c>
      <c r="U150" t="s">
        <v>532</v>
      </c>
      <c r="V150" t="s">
        <v>533</v>
      </c>
      <c r="W150">
        <v>0</v>
      </c>
      <c r="X150">
        <v>3</v>
      </c>
      <c r="Y150" t="b">
        <v>0</v>
      </c>
      <c r="Z150" t="s">
        <v>534</v>
      </c>
      <c r="AA150" t="s">
        <v>41</v>
      </c>
      <c r="AB150" s="1">
        <v>44054.916666666664</v>
      </c>
      <c r="AC150" t="s">
        <v>42</v>
      </c>
      <c r="AD150" t="s">
        <v>43</v>
      </c>
    </row>
    <row r="151" spans="1:31" x14ac:dyDescent="0.3">
      <c r="A151">
        <v>118130</v>
      </c>
      <c r="B151" t="s">
        <v>55</v>
      </c>
      <c r="C151" t="s">
        <v>30</v>
      </c>
      <c r="D151" t="s">
        <v>56</v>
      </c>
      <c r="E151" t="s">
        <v>57</v>
      </c>
      <c r="H151" t="s">
        <v>33</v>
      </c>
      <c r="I151" t="s">
        <v>58</v>
      </c>
      <c r="J151" t="s">
        <v>59</v>
      </c>
      <c r="K151" t="s">
        <v>33</v>
      </c>
      <c r="L151" t="s">
        <v>540</v>
      </c>
      <c r="M151" cm="1">
        <f t="array" ref="M151">Convert_Decimal(L151)</f>
        <v>42.46</v>
      </c>
      <c r="N151" t="s">
        <v>60</v>
      </c>
      <c r="P151">
        <v>1410</v>
      </c>
      <c r="R151" s="1">
        <v>41854.916666666664</v>
      </c>
      <c r="S151" t="s">
        <v>36</v>
      </c>
      <c r="T151" t="s">
        <v>61</v>
      </c>
      <c r="U151" t="s">
        <v>532</v>
      </c>
      <c r="V151" t="s">
        <v>533</v>
      </c>
      <c r="W151">
        <v>4</v>
      </c>
      <c r="X151">
        <v>0</v>
      </c>
      <c r="Y151" t="b">
        <v>0</v>
      </c>
      <c r="Z151" t="s">
        <v>534</v>
      </c>
      <c r="AA151" t="s">
        <v>41</v>
      </c>
      <c r="AB151" s="1">
        <v>44054.916666666664</v>
      </c>
      <c r="AC151" t="s">
        <v>42</v>
      </c>
      <c r="AD151" t="s">
        <v>43</v>
      </c>
      <c r="AE151" t="s">
        <v>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GBIF_Medetera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BROSENS, Dimitri</cp:lastModifiedBy>
  <dcterms:created xsi:type="dcterms:W3CDTF">2022-09-05T07:47:32Z</dcterms:created>
  <dcterms:modified xsi:type="dcterms:W3CDTF">2022-09-05T08:42:52Z</dcterms:modified>
</cp:coreProperties>
</file>