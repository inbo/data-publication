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mitri_brosens\Documents\Github\data-publication\datasets\mediteranian-medetera-occurrences\data\interim\"/>
    </mc:Choice>
  </mc:AlternateContent>
  <xr:revisionPtr revIDLastSave="0" documentId="13_ncr:1_{CBB993EF-9D5B-42C9-A3F8-67E91963951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BIF_Medetera" sheetId="1" r:id="rId1"/>
    <sheet name="Blad1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1" l="1" a="1"/>
  <c r="M7" i="1" a="1"/>
  <c r="M11" i="1" a="1"/>
  <c r="M15" i="1" a="1"/>
  <c r="M19" i="1" a="1"/>
  <c r="M23" i="1" a="1"/>
  <c r="M27" i="1" a="1"/>
  <c r="M31" i="1" a="1"/>
  <c r="M35" i="1" a="1"/>
  <c r="M39" i="1" a="1"/>
  <c r="M43" i="1" a="1"/>
  <c r="M47" i="1" a="1"/>
  <c r="M51" i="1" a="1"/>
  <c r="M55" i="1" a="1"/>
  <c r="M59" i="1" a="1"/>
  <c r="M63" i="1" a="1"/>
  <c r="M67" i="1" a="1"/>
  <c r="M71" i="1" a="1"/>
  <c r="M75" i="1" a="1"/>
  <c r="M79" i="1" a="1"/>
  <c r="M83" i="1" a="1"/>
  <c r="M87" i="1" a="1"/>
  <c r="M91" i="1" a="1"/>
  <c r="M95" i="1" a="1"/>
  <c r="M99" i="1" a="1"/>
  <c r="M103" i="1" a="1"/>
  <c r="M107" i="1" a="1"/>
  <c r="M111" i="1" a="1"/>
  <c r="M115" i="1" a="1"/>
  <c r="M119" i="1" a="1"/>
  <c r="M123" i="1" a="1"/>
  <c r="M127" i="1" a="1"/>
  <c r="M131" i="1" a="1"/>
  <c r="M135" i="1" a="1"/>
  <c r="M139" i="1" a="1"/>
  <c r="M143" i="1" a="1"/>
  <c r="M147" i="1" a="1"/>
  <c r="M151" i="1" a="1"/>
  <c r="M8" i="1" a="1"/>
  <c r="M12" i="1" a="1"/>
  <c r="M16" i="1" a="1"/>
  <c r="M24" i="1" a="1"/>
  <c r="M36" i="1" a="1"/>
  <c r="M44" i="1" a="1"/>
  <c r="M52" i="1" a="1"/>
  <c r="M60" i="1" a="1"/>
  <c r="M68" i="1" a="1"/>
  <c r="M76" i="1" a="1"/>
  <c r="M84" i="1" a="1"/>
  <c r="M96" i="1" a="1"/>
  <c r="M104" i="1" a="1"/>
  <c r="M112" i="1" a="1"/>
  <c r="M120" i="1" a="1"/>
  <c r="M128" i="1" a="1"/>
  <c r="M136" i="1" a="1"/>
  <c r="M140" i="1" a="1"/>
  <c r="M148" i="1" a="1"/>
  <c r="M4" i="1" a="1"/>
  <c r="M6" i="1" a="1"/>
  <c r="M10" i="1" a="1"/>
  <c r="M14" i="1" a="1"/>
  <c r="M18" i="1" a="1"/>
  <c r="M22" i="1" a="1"/>
  <c r="M26" i="1" a="1"/>
  <c r="M30" i="1" a="1"/>
  <c r="M34" i="1" a="1"/>
  <c r="M38" i="1" a="1"/>
  <c r="M42" i="1" a="1"/>
  <c r="M46" i="1" a="1"/>
  <c r="M50" i="1" a="1"/>
  <c r="M54" i="1" a="1"/>
  <c r="M58" i="1" a="1"/>
  <c r="M62" i="1" a="1"/>
  <c r="M66" i="1" a="1"/>
  <c r="M70" i="1" a="1"/>
  <c r="M74" i="1" a="1"/>
  <c r="M78" i="1" a="1"/>
  <c r="M82" i="1" a="1"/>
  <c r="M86" i="1" a="1"/>
  <c r="M90" i="1" a="1"/>
  <c r="M94" i="1" a="1"/>
  <c r="M98" i="1" a="1"/>
  <c r="M102" i="1" a="1"/>
  <c r="M106" i="1" a="1"/>
  <c r="M110" i="1" a="1"/>
  <c r="M114" i="1" a="1"/>
  <c r="M118" i="1" a="1"/>
  <c r="M122" i="1" a="1"/>
  <c r="M126" i="1" a="1"/>
  <c r="M130" i="1" a="1"/>
  <c r="M134" i="1" a="1"/>
  <c r="M138" i="1" a="1"/>
  <c r="M142" i="1" a="1"/>
  <c r="M146" i="1" a="1"/>
  <c r="M150" i="1" a="1"/>
  <c r="M20" i="1" a="1"/>
  <c r="M32" i="1" a="1"/>
  <c r="M40" i="1" a="1"/>
  <c r="M48" i="1" a="1"/>
  <c r="M56" i="1" a="1"/>
  <c r="M64" i="1" a="1"/>
  <c r="M72" i="1" a="1"/>
  <c r="M80" i="1" a="1"/>
  <c r="M88" i="1" a="1"/>
  <c r="M92" i="1" a="1"/>
  <c r="M100" i="1" a="1"/>
  <c r="M108" i="1" a="1"/>
  <c r="M116" i="1" a="1"/>
  <c r="M124" i="1" a="1"/>
  <c r="M132" i="1" a="1"/>
  <c r="M144" i="1" a="1"/>
  <c r="M5" i="1" a="1"/>
  <c r="M21" i="1" a="1"/>
  <c r="M37" i="1" a="1"/>
  <c r="M53" i="1" a="1"/>
  <c r="M69" i="1" a="1"/>
  <c r="M85" i="1" a="1"/>
  <c r="M101" i="1" a="1"/>
  <c r="M117" i="1" a="1"/>
  <c r="M129" i="1" a="1"/>
  <c r="M9" i="1" a="1"/>
  <c r="M41" i="1" a="1"/>
  <c r="M73" i="1" a="1"/>
  <c r="M89" i="1" a="1"/>
  <c r="M105" i="1" a="1"/>
  <c r="M133" i="1" a="1"/>
  <c r="M29" i="1" a="1"/>
  <c r="M77" i="1" a="1"/>
  <c r="M125" i="1" a="1"/>
  <c r="M141" i="1" a="1"/>
  <c r="M25" i="1" a="1"/>
  <c r="M57" i="1" a="1"/>
  <c r="M121" i="1" a="1"/>
  <c r="M13" i="1" a="1"/>
  <c r="M61" i="1" a="1"/>
  <c r="M109" i="1" a="1"/>
  <c r="M145" i="1" a="1"/>
  <c r="M17" i="1" a="1"/>
  <c r="M33" i="1" a="1"/>
  <c r="M49" i="1" a="1"/>
  <c r="M65" i="1" a="1"/>
  <c r="M81" i="1" a="1"/>
  <c r="M97" i="1" a="1"/>
  <c r="M113" i="1" a="1"/>
  <c r="M137" i="1" a="1"/>
  <c r="M149" i="1" a="1"/>
  <c r="M45" i="1" a="1"/>
  <c r="M93" i="1" a="1"/>
  <c r="M2" i="1" a="1"/>
  <c r="M93" i="1" l="1"/>
  <c r="M45" i="1"/>
  <c r="M149" i="1"/>
  <c r="M137" i="1"/>
  <c r="M113" i="1"/>
  <c r="M97" i="1"/>
  <c r="M81" i="1"/>
  <c r="M65" i="1"/>
  <c r="M49" i="1"/>
  <c r="M33" i="1"/>
  <c r="M17" i="1"/>
  <c r="M145" i="1"/>
  <c r="M109" i="1"/>
  <c r="M61" i="1"/>
  <c r="M13" i="1"/>
  <c r="M121" i="1"/>
  <c r="M57" i="1"/>
  <c r="M25" i="1"/>
  <c r="M141" i="1"/>
  <c r="M125" i="1"/>
  <c r="M77" i="1"/>
  <c r="M29" i="1"/>
  <c r="M133" i="1"/>
  <c r="M105" i="1"/>
  <c r="M89" i="1"/>
  <c r="M73" i="1"/>
  <c r="M41" i="1"/>
  <c r="M9" i="1"/>
  <c r="M129" i="1"/>
  <c r="M117" i="1"/>
  <c r="M101" i="1"/>
  <c r="M85" i="1"/>
  <c r="M69" i="1"/>
  <c r="M53" i="1"/>
  <c r="M37" i="1"/>
  <c r="M21" i="1"/>
  <c r="M5" i="1"/>
  <c r="M144" i="1"/>
  <c r="M132" i="1"/>
  <c r="M124" i="1"/>
  <c r="M116" i="1"/>
  <c r="M108" i="1"/>
  <c r="M100" i="1"/>
  <c r="M92" i="1"/>
  <c r="M88" i="1"/>
  <c r="M80" i="1"/>
  <c r="M72" i="1"/>
  <c r="M64" i="1"/>
  <c r="M56" i="1"/>
  <c r="M48" i="1"/>
  <c r="M40" i="1"/>
  <c r="M32" i="1"/>
  <c r="M20" i="1"/>
  <c r="M150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4" i="1"/>
  <c r="M148" i="1"/>
  <c r="M140" i="1"/>
  <c r="M136" i="1"/>
  <c r="M128" i="1"/>
  <c r="M120" i="1"/>
  <c r="M112" i="1"/>
  <c r="M104" i="1"/>
  <c r="M96" i="1"/>
  <c r="M84" i="1"/>
  <c r="M76" i="1"/>
  <c r="M68" i="1"/>
  <c r="M60" i="1"/>
  <c r="M52" i="1"/>
  <c r="M44" i="1"/>
  <c r="M36" i="1"/>
  <c r="M24" i="1"/>
  <c r="M16" i="1"/>
  <c r="M12" i="1"/>
  <c r="M8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2" i="1"/>
  <c r="M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<sst xmlns="http://schemas.openxmlformats.org/spreadsheetml/2006/main" count="7067" uniqueCount="843">
  <si>
    <t>occurrenceID</t>
  </si>
  <si>
    <t>sample_cd</t>
  </si>
  <si>
    <t>country_cd</t>
  </si>
  <si>
    <t>region_cd</t>
  </si>
  <si>
    <t>province_cd</t>
  </si>
  <si>
    <t>district_cd</t>
  </si>
  <si>
    <t>district_nm</t>
  </si>
  <si>
    <t>municipality_PT_nm</t>
  </si>
  <si>
    <t>locality_nm</t>
  </si>
  <si>
    <t>location_nm</t>
  </si>
  <si>
    <t>sampling_site_cd</t>
  </si>
  <si>
    <t>latitude</t>
  </si>
  <si>
    <t>longitude</t>
  </si>
  <si>
    <t>altitude</t>
  </si>
  <si>
    <t>sampling_date_b</t>
  </si>
  <si>
    <t>sampling_date_e</t>
  </si>
  <si>
    <t>method_cd</t>
  </si>
  <si>
    <t>collector_nm</t>
  </si>
  <si>
    <t>species_cd</t>
  </si>
  <si>
    <t>species_nm_full</t>
  </si>
  <si>
    <t>mm</t>
  </si>
  <si>
    <t>ff</t>
  </si>
  <si>
    <t>ID_doubtful?</t>
  </si>
  <si>
    <t>coll_position_cd</t>
  </si>
  <si>
    <t>identified_by</t>
  </si>
  <si>
    <t>identified_date</t>
  </si>
  <si>
    <t>collection cd</t>
  </si>
  <si>
    <t>preservation_method_cd</t>
  </si>
  <si>
    <t>remarks_spm</t>
  </si>
  <si>
    <t>ES/2015/259/RA</t>
  </si>
  <si>
    <t>ES</t>
  </si>
  <si>
    <t>Aragón</t>
  </si>
  <si>
    <t>Huesca</t>
  </si>
  <si>
    <t>-</t>
  </si>
  <si>
    <t>Fraga</t>
  </si>
  <si>
    <t>0°16'32.8"E</t>
  </si>
  <si>
    <t>SW</t>
  </si>
  <si>
    <t>Rui Andrade</t>
  </si>
  <si>
    <t>MEDEAGLA</t>
  </si>
  <si>
    <t>Medetera aglaops Pollet, 2022</t>
  </si>
  <si>
    <t>RC/PAL/3415</t>
  </si>
  <si>
    <t>Marc Pollet</t>
  </si>
  <si>
    <t>MAPC</t>
  </si>
  <si>
    <t>W</t>
  </si>
  <si>
    <t>ES/2015/231/AG&amp;RA</t>
  </si>
  <si>
    <t>Castilla y León</t>
  </si>
  <si>
    <t>Burgos</t>
  </si>
  <si>
    <t>Villaquirán de los Infantes</t>
  </si>
  <si>
    <t>4°0'08.1"W</t>
  </si>
  <si>
    <t>HC</t>
  </si>
  <si>
    <t>Ana Gonçalves &amp; Rui Andrade</t>
  </si>
  <si>
    <t>ES/2014/215/RA</t>
  </si>
  <si>
    <t>Villasur de Herreros</t>
  </si>
  <si>
    <t>3°23'34.0"W</t>
  </si>
  <si>
    <t>halter dark</t>
  </si>
  <si>
    <t>ES/2014/216/RA&amp;AG</t>
  </si>
  <si>
    <t>Cataluña</t>
  </si>
  <si>
    <t>Lleida</t>
  </si>
  <si>
    <t>Pallars Sobirà</t>
  </si>
  <si>
    <t>Sort (Llessui)</t>
  </si>
  <si>
    <t>1°04'14.6"E</t>
  </si>
  <si>
    <t>Rui Andrade &amp; Ana Gonçalves</t>
  </si>
  <si>
    <t>ES/2015/315/RA</t>
  </si>
  <si>
    <t>Comunidad de Madrid</t>
  </si>
  <si>
    <t>Madrid</t>
  </si>
  <si>
    <t>Aranjuez</t>
  </si>
  <si>
    <t>0°12'44.6"E</t>
  </si>
  <si>
    <t>4dc, abdomen with dark pubescence, halter slighly infuscate, wing infuscate</t>
  </si>
  <si>
    <t>ES/2015/175/RA</t>
  </si>
  <si>
    <t>Extremadura</t>
  </si>
  <si>
    <t>Badajoz</t>
  </si>
  <si>
    <t>Valencia del Ventoso</t>
  </si>
  <si>
    <t>6°33'13.3"W</t>
  </si>
  <si>
    <t>ES/2016/337/RA&amp;AG</t>
  </si>
  <si>
    <t>Cáceres</t>
  </si>
  <si>
    <t>Abertura</t>
  </si>
  <si>
    <t>4°47'17.0"W</t>
  </si>
  <si>
    <t>ES/2014/236/RA</t>
  </si>
  <si>
    <t>Galicia</t>
  </si>
  <si>
    <t>Ourense</t>
  </si>
  <si>
    <t>Rubiá</t>
  </si>
  <si>
    <t>Covas</t>
  </si>
  <si>
    <t>6°50'13.0"W</t>
  </si>
  <si>
    <t>ABIGA/64729</t>
  </si>
  <si>
    <t>Folgoso do Courel</t>
  </si>
  <si>
    <t>Teixeira</t>
  </si>
  <si>
    <t>7º9'38.9"W</t>
  </si>
  <si>
    <t>J.L. Camaño</t>
  </si>
  <si>
    <t>RC/PAL/3293</t>
  </si>
  <si>
    <t>ABIGA/8302</t>
  </si>
  <si>
    <t>Quiroga</t>
  </si>
  <si>
    <t>San Martiño</t>
  </si>
  <si>
    <t>7º11'3.5"W</t>
  </si>
  <si>
    <t>ES/250308ST96/A007</t>
  </si>
  <si>
    <t>Valencia</t>
  </si>
  <si>
    <t>Alicante</t>
  </si>
  <si>
    <t>Alfaz del Pi</t>
  </si>
  <si>
    <t>0°06'04.4"W</t>
  </si>
  <si>
    <t>YPT/RPT</t>
  </si>
  <si>
    <t>A. Sendra</t>
  </si>
  <si>
    <t>RC/PAL/3667</t>
  </si>
  <si>
    <t>ES/250308ST58/A005</t>
  </si>
  <si>
    <t>ES/250308ST82/A006</t>
  </si>
  <si>
    <t>ES/290508PJ51</t>
  </si>
  <si>
    <t>Enguera</t>
  </si>
  <si>
    <t>Terrenos de labor</t>
  </si>
  <si>
    <t>0°41'20.9"W</t>
  </si>
  <si>
    <t>Sergio Montagud et al.</t>
  </si>
  <si>
    <t>FR-COR/2019/220</t>
  </si>
  <si>
    <t>FR</t>
  </si>
  <si>
    <t>Corsica</t>
  </si>
  <si>
    <t>Corse-du-Sud (2A)</t>
  </si>
  <si>
    <t>Serra di Scopamène</t>
  </si>
  <si>
    <t>Campu di Bonza</t>
  </si>
  <si>
    <t>S1-ML2</t>
  </si>
  <si>
    <t>9°7'22.4364"E</t>
  </si>
  <si>
    <t>MT</t>
  </si>
  <si>
    <t>Julien Touroult</t>
  </si>
  <si>
    <t>RC/PAL/3628</t>
  </si>
  <si>
    <t>FR-COR/2019/058</t>
  </si>
  <si>
    <t>Castellu d'Ornucciu</t>
  </si>
  <si>
    <t>CO</t>
  </si>
  <si>
    <t>09°09'29.2"E</t>
  </si>
  <si>
    <t>RC/FR-COR/025</t>
  </si>
  <si>
    <t>RC/FR-COR/060</t>
  </si>
  <si>
    <t>FR-COR/2019/145</t>
  </si>
  <si>
    <t>CO-BYWT-01</t>
  </si>
  <si>
    <t>09°09'26.1"E</t>
  </si>
  <si>
    <t>WPT</t>
  </si>
  <si>
    <t>RC/FR-COR/154</t>
  </si>
  <si>
    <t>FR-COR/2019/146</t>
  </si>
  <si>
    <t>BPT</t>
  </si>
  <si>
    <t>FR-COR/2019/148</t>
  </si>
  <si>
    <t>CO-BYWT-02</t>
  </si>
  <si>
    <t>09°09'26.4"E</t>
  </si>
  <si>
    <t>FR-COR/2019/147</t>
  </si>
  <si>
    <t>YPT</t>
  </si>
  <si>
    <t>FR-COR/2019/149</t>
  </si>
  <si>
    <t>FR-COR/2019/151</t>
  </si>
  <si>
    <t>CO-BYWT-03</t>
  </si>
  <si>
    <t>09°09'27.6"E</t>
  </si>
  <si>
    <t>FR-COR/2019/156</t>
  </si>
  <si>
    <t>CO-BYWT-04</t>
  </si>
  <si>
    <t>09°09'24.2"E</t>
  </si>
  <si>
    <t>FR-COR/2019/085</t>
  </si>
  <si>
    <t>Serra di Scopamène et Sorbollano</t>
  </si>
  <si>
    <t>BO-BYWPT-02</t>
  </si>
  <si>
    <t>09°07'16.2"E</t>
  </si>
  <si>
    <t>RC/FR-COR/091</t>
  </si>
  <si>
    <t>FR-COR/2019/091</t>
  </si>
  <si>
    <t>BO-BYWPT-03</t>
  </si>
  <si>
    <t>09°07'15.1"E</t>
  </si>
  <si>
    <t>FR-COR/2019/074</t>
  </si>
  <si>
    <t>BO-BYWPT-04</t>
  </si>
  <si>
    <t>09°07'26.9"E</t>
  </si>
  <si>
    <t>FR-COR/2019/212</t>
  </si>
  <si>
    <t>Sorbollano</t>
  </si>
  <si>
    <t>S2-ML2</t>
  </si>
  <si>
    <t>9°7'27.606"E</t>
  </si>
  <si>
    <t>FR-COR/2019/233</t>
  </si>
  <si>
    <t>9°7'30.1692"E</t>
  </si>
  <si>
    <t>FR-COR/2019/211</t>
  </si>
  <si>
    <t>9°7'29.7366"E</t>
  </si>
  <si>
    <t>FR-COR/2019/219</t>
  </si>
  <si>
    <t>FR-COR/2019/213</t>
  </si>
  <si>
    <t>FR-COR/2019/209</t>
  </si>
  <si>
    <t>FR-COR/2019/051</t>
  </si>
  <si>
    <t>Zicavo</t>
  </si>
  <si>
    <t>Ponte di Valpine</t>
  </si>
  <si>
    <t>VA</t>
  </si>
  <si>
    <t>09°08'00.2"E</t>
  </si>
  <si>
    <t>FR-COR/2019/024</t>
  </si>
  <si>
    <t>Zonza</t>
  </si>
  <si>
    <t>Samulaghia</t>
  </si>
  <si>
    <t>SA</t>
  </si>
  <si>
    <t>09°13.375'E</t>
  </si>
  <si>
    <t>FR-COR/2019/030</t>
  </si>
  <si>
    <t>09°13.544'E</t>
  </si>
  <si>
    <t>FR-COR/2019/031</t>
  </si>
  <si>
    <t>09°13.409'E</t>
  </si>
  <si>
    <t>FR-COR/2019/032</t>
  </si>
  <si>
    <t>09°13.378'E</t>
  </si>
  <si>
    <t>FR-COR/2019/033</t>
  </si>
  <si>
    <t>09°13.347'E</t>
  </si>
  <si>
    <t>PT</t>
  </si>
  <si>
    <t>RC/FR-COR/109</t>
  </si>
  <si>
    <t>FR-COR/2019/034</t>
  </si>
  <si>
    <t>09°13.380'E</t>
  </si>
  <si>
    <t>FR-COR/2019/096</t>
  </si>
  <si>
    <t>SA-BYWPT-01</t>
  </si>
  <si>
    <t>09°13.658'E</t>
  </si>
  <si>
    <t>FR-COR/2019/097</t>
  </si>
  <si>
    <t>FR-COR/2019/098</t>
  </si>
  <si>
    <t>FR-COR/2019/118</t>
  </si>
  <si>
    <t>SA-BYWPT-02</t>
  </si>
  <si>
    <t>09°13.649'E</t>
  </si>
  <si>
    <t>Anja De Braekeleer</t>
  </si>
  <si>
    <t>FR-COR/2019/100</t>
  </si>
  <si>
    <t>FR-COR/2019/101</t>
  </si>
  <si>
    <t>FR-COR/2019/110</t>
  </si>
  <si>
    <t>SA-BYWPT-03</t>
  </si>
  <si>
    <t>9°13'37.2"E</t>
  </si>
  <si>
    <t>FR-COR/2019/108</t>
  </si>
  <si>
    <t>FR-COR/2019/109</t>
  </si>
  <si>
    <t>FR-COR/2019/115</t>
  </si>
  <si>
    <t>SA-BYWPT-04</t>
  </si>
  <si>
    <t>09°13'32.9"E</t>
  </si>
  <si>
    <t>FR-COR/2019/114</t>
  </si>
  <si>
    <t>9°13'32.9"E</t>
  </si>
  <si>
    <t>IT/2006/009/GN</t>
  </si>
  <si>
    <t>IT</t>
  </si>
  <si>
    <t>Sardinia</t>
  </si>
  <si>
    <t>Carbonia-Iglesias</t>
  </si>
  <si>
    <t>Domusnovas</t>
  </si>
  <si>
    <t>Valle Oridda</t>
  </si>
  <si>
    <t>S3 [SAR06-S3-4°]</t>
  </si>
  <si>
    <t>8.616372°E</t>
  </si>
  <si>
    <t>G. Chessa</t>
  </si>
  <si>
    <t>26</t>
  </si>
  <si>
    <t>IT/2006/024/GN</t>
  </si>
  <si>
    <t>Iglesias</t>
  </si>
  <si>
    <t>Marganai, Tintillonis</t>
  </si>
  <si>
    <t>Plot Conecofor SAR1</t>
  </si>
  <si>
    <t>8.570726°E</t>
  </si>
  <si>
    <t>D. Birtele, P. Cerretti, E. Gatti, F. Mason &amp; D. Whitmore</t>
  </si>
  <si>
    <t>81</t>
  </si>
  <si>
    <t>IT/2006/001/GN</t>
  </si>
  <si>
    <t>nr colonia Beneck</t>
  </si>
  <si>
    <t>S1 [SAR06-S1-3']</t>
  </si>
  <si>
    <t>8.563532°E</t>
  </si>
  <si>
    <t>14</t>
  </si>
  <si>
    <t>IT/2006/015/GN</t>
  </si>
  <si>
    <t>41</t>
  </si>
  <si>
    <t>halter dark yellow, tiII with only one ad bristle; ac biseriate, microscopic</t>
  </si>
  <si>
    <t>IT/2006/029/GN</t>
  </si>
  <si>
    <t>S1 [SAR06-S1-6°]</t>
  </si>
  <si>
    <t>103</t>
  </si>
  <si>
    <t>PT/2015/183/RA</t>
  </si>
  <si>
    <t>Alto Alentejo</t>
  </si>
  <si>
    <t>PT-12</t>
  </si>
  <si>
    <t>Portalegre</t>
  </si>
  <si>
    <t>Marvão</t>
  </si>
  <si>
    <t>Santa Maria de Marvão</t>
  </si>
  <si>
    <t>7°21'51.4"W</t>
  </si>
  <si>
    <t>RC/PAL/1813</t>
  </si>
  <si>
    <t>PT/2013/082/RA</t>
  </si>
  <si>
    <t>Beira Alta</t>
  </si>
  <si>
    <t>PT-09</t>
  </si>
  <si>
    <t>Guarda</t>
  </si>
  <si>
    <t>Gouveia</t>
  </si>
  <si>
    <t>Aldeias</t>
  </si>
  <si>
    <t>7°35'15.7"W</t>
  </si>
  <si>
    <t>RC/PAL/2961</t>
  </si>
  <si>
    <t>checked</t>
  </si>
  <si>
    <t>PT/2014/204/AG</t>
  </si>
  <si>
    <t>Seia</t>
  </si>
  <si>
    <t>Loriga</t>
  </si>
  <si>
    <t>Praia Fluvial de Loriga</t>
  </si>
  <si>
    <t>7°40'36.71"W</t>
  </si>
  <si>
    <t>Ana Rita Gonçalves</t>
  </si>
  <si>
    <t>RC/PAL/3090</t>
  </si>
  <si>
    <t>checked: 4 dc, bluish mesonotum</t>
  </si>
  <si>
    <t>PT/2013/227/RA</t>
  </si>
  <si>
    <t>Sabugueiro</t>
  </si>
  <si>
    <t>Lagoa Comprida</t>
  </si>
  <si>
    <t>7°38'32.5"W</t>
  </si>
  <si>
    <t>RC/PAL/2983</t>
  </si>
  <si>
    <t>PT/2013/110/AG</t>
  </si>
  <si>
    <t>Beira Litoral</t>
  </si>
  <si>
    <t>PT-06</t>
  </si>
  <si>
    <t>Coimbra</t>
  </si>
  <si>
    <t>Sé Nova</t>
  </si>
  <si>
    <t>Jardin Botânica de Coimbra</t>
  </si>
  <si>
    <t>8°25'15.0"W</t>
  </si>
  <si>
    <t>checked: mesonotum bluish metallic, 4 dc</t>
  </si>
  <si>
    <t>PT/2015/381/RA</t>
  </si>
  <si>
    <t>Pampilhosa da Serra</t>
  </si>
  <si>
    <t>Vidual</t>
  </si>
  <si>
    <t>7°51'33.6"W</t>
  </si>
  <si>
    <t>RC/PAL/3063</t>
  </si>
  <si>
    <t>PT/2010/001/RA</t>
  </si>
  <si>
    <t>Douro Litoral</t>
  </si>
  <si>
    <t>PT-13</t>
  </si>
  <si>
    <t>Porto</t>
  </si>
  <si>
    <t>Valongo</t>
  </si>
  <si>
    <t>Serras de Valongo</t>
  </si>
  <si>
    <t>8°29'05.6"W</t>
  </si>
  <si>
    <t>PT/2010/006/RA</t>
  </si>
  <si>
    <t>PT/2012/135/RA</t>
  </si>
  <si>
    <t>PT/2013/034/RA</t>
  </si>
  <si>
    <t>RC/PAL/3009</t>
  </si>
  <si>
    <t>PT/2009/135/RA</t>
  </si>
  <si>
    <t>Vila Nova de Gaia</t>
  </si>
  <si>
    <t>Oliveira do Douro</t>
  </si>
  <si>
    <t>Parque Municipal da Lavandeira</t>
  </si>
  <si>
    <t>8°35'40.9"W</t>
  </si>
  <si>
    <t>PT/2012/026/RA</t>
  </si>
  <si>
    <t>Estremadura</t>
  </si>
  <si>
    <t>PT-10</t>
  </si>
  <si>
    <t>Leiria</t>
  </si>
  <si>
    <t>Caldas da Rainha</t>
  </si>
  <si>
    <t>Tornada</t>
  </si>
  <si>
    <t>Paul de Tornada</t>
  </si>
  <si>
    <t>9°08'04.0"W</t>
  </si>
  <si>
    <t>RC/PAL/2989</t>
  </si>
  <si>
    <t>PT/2012/106/RA</t>
  </si>
  <si>
    <t>RC/PAL/2992</t>
  </si>
  <si>
    <t>PT/2012/037/RA</t>
  </si>
  <si>
    <t>RC/PAL/2990</t>
  </si>
  <si>
    <t>PT/2013/237/RA</t>
  </si>
  <si>
    <t>PT-11</t>
  </si>
  <si>
    <t>Lisboa</t>
  </si>
  <si>
    <t>Torres Vedras</t>
  </si>
  <si>
    <t>A dos Cunhados</t>
  </si>
  <si>
    <t>Casal da Serra</t>
  </si>
  <si>
    <t>9°20'31.53"W</t>
  </si>
  <si>
    <t>RC/PAL/2998</t>
  </si>
  <si>
    <t>PT/2013/185/RA</t>
  </si>
  <si>
    <t>RC/PAL/3666</t>
  </si>
  <si>
    <t>RC/PAL/2999</t>
  </si>
  <si>
    <t>PT/2013/292/RA</t>
  </si>
  <si>
    <t>PT/2009/137/RA</t>
  </si>
  <si>
    <t>Minho</t>
  </si>
  <si>
    <t>PT-03</t>
  </si>
  <si>
    <t>Braga</t>
  </si>
  <si>
    <t>Barcelos</t>
  </si>
  <si>
    <t>Gilmonde</t>
  </si>
  <si>
    <t>8°38'57.0"W</t>
  </si>
  <si>
    <t>RC/PAL/1922</t>
  </si>
  <si>
    <t>checked: 1m used for genital examination (not preserved)</t>
  </si>
  <si>
    <t>PT/2012/117/RA</t>
  </si>
  <si>
    <t>RC/PAL/2855</t>
  </si>
  <si>
    <t>PT/2012/015/RA</t>
  </si>
  <si>
    <t>RC/PAL/2853</t>
  </si>
  <si>
    <t>PT/2012/325/RA</t>
  </si>
  <si>
    <t>8°38'56.1"W</t>
  </si>
  <si>
    <t>RC/PAL/2860</t>
  </si>
  <si>
    <t>PT/2013/007/RA</t>
  </si>
  <si>
    <t>RC/PAL/2851</t>
  </si>
  <si>
    <t>PT/2012/069/RA</t>
  </si>
  <si>
    <t>Esposende</t>
  </si>
  <si>
    <t>Apúlia</t>
  </si>
  <si>
    <t>Parque Natural do Litoral Norte</t>
  </si>
  <si>
    <t>8°46'27.2"W</t>
  </si>
  <si>
    <t>RC/PAL/2864</t>
  </si>
  <si>
    <t>PT/2015/323/RA</t>
  </si>
  <si>
    <t>RC/PAL/2868</t>
  </si>
  <si>
    <t>PT/2013/020/RA</t>
  </si>
  <si>
    <t>Rio Tinto</t>
  </si>
  <si>
    <t>Marachão</t>
  </si>
  <si>
    <t>8°43'10.6"W</t>
  </si>
  <si>
    <t>RC/PAL/2869</t>
  </si>
  <si>
    <t>PT/2011/235/RA</t>
  </si>
  <si>
    <t>Terras de Bouro</t>
  </si>
  <si>
    <t>Vilar da Veiga</t>
  </si>
  <si>
    <t>Gerês</t>
  </si>
  <si>
    <t>8°09'19.8"W</t>
  </si>
  <si>
    <t>RC/PAL/1950</t>
  </si>
  <si>
    <t>PT/2011/004/RA</t>
  </si>
  <si>
    <t>Ribatejo</t>
  </si>
  <si>
    <t>PT-14</t>
  </si>
  <si>
    <t>Santarém</t>
  </si>
  <si>
    <t>Constância</t>
  </si>
  <si>
    <t>Santa Margarida da Coutada</t>
  </si>
  <si>
    <t>8°16'50.7"W</t>
  </si>
  <si>
    <t>PT/2013/154/AG</t>
  </si>
  <si>
    <t>Torres Novas</t>
  </si>
  <si>
    <t>Olaia</t>
  </si>
  <si>
    <t>Lamarosa</t>
  </si>
  <si>
    <t>8°28'10.13"W</t>
  </si>
  <si>
    <t>PT/2015/350/RA</t>
  </si>
  <si>
    <t>Trás-os-Montes e Alto Douro</t>
  </si>
  <si>
    <t>PT-04</t>
  </si>
  <si>
    <t>Bragança</t>
  </si>
  <si>
    <t>Castrelos</t>
  </si>
  <si>
    <t>6°53'24.2"W</t>
  </si>
  <si>
    <t>RC/PAL/2887</t>
  </si>
  <si>
    <t>PT/2015/264/RA</t>
  </si>
  <si>
    <t>Gondesende</t>
  </si>
  <si>
    <t>6°52'45.9"W</t>
  </si>
  <si>
    <t>RC/PAL/2909</t>
  </si>
  <si>
    <t>PT/2014/225/RA</t>
  </si>
  <si>
    <t>Vinhais</t>
  </si>
  <si>
    <t>6°59'21.6"W</t>
  </si>
  <si>
    <t>RC/PAL/2911</t>
  </si>
  <si>
    <t>PT/2015/404/AG</t>
  </si>
  <si>
    <t>Miranda do Douro</t>
  </si>
  <si>
    <t>Silva</t>
  </si>
  <si>
    <t>Santo Adrião</t>
  </si>
  <si>
    <t>6°28'27.24"W</t>
  </si>
  <si>
    <t>PT/2015/344/RA</t>
  </si>
  <si>
    <t>Vila Chã de Braciosa</t>
  </si>
  <si>
    <t>6°18'29.4"W</t>
  </si>
  <si>
    <t>RC/PAL/2915</t>
  </si>
  <si>
    <t>PT/2016/366/RA</t>
  </si>
  <si>
    <t>RC/PAL/3042</t>
  </si>
  <si>
    <t>PT/2015/321/RA</t>
  </si>
  <si>
    <t>Mogadouro</t>
  </si>
  <si>
    <t>Meirinhos</t>
  </si>
  <si>
    <t>6°52'21.5"W</t>
  </si>
  <si>
    <t>RC/PAL/2919</t>
  </si>
  <si>
    <t>PT/2016/362/RA</t>
  </si>
  <si>
    <t>Torre de Moncorvo</t>
  </si>
  <si>
    <t>Adeganha</t>
  </si>
  <si>
    <t>Estevais</t>
  </si>
  <si>
    <t>7°04'22.0"W</t>
  </si>
  <si>
    <t>RC/PAL/3046</t>
  </si>
  <si>
    <t>PT/2015/310/RA</t>
  </si>
  <si>
    <t>Vimioso</t>
  </si>
  <si>
    <t>Algoso</t>
  </si>
  <si>
    <t>6°35'35.2"W</t>
  </si>
  <si>
    <t>checked: 4 strong dc, mesonotum bluish, vein M straight</t>
  </si>
  <si>
    <t>PT/2015/379/RA&amp;AG</t>
  </si>
  <si>
    <t>Vale de Algoso</t>
  </si>
  <si>
    <t>6°32'19.9"W</t>
  </si>
  <si>
    <t>RC/PAL/3060</t>
  </si>
  <si>
    <t>PT/2015/348/RA&amp;AG</t>
  </si>
  <si>
    <t>RC/PAL/2925</t>
  </si>
  <si>
    <t>PT/2013/008/RA</t>
  </si>
  <si>
    <t>PT-17</t>
  </si>
  <si>
    <t>Vila Real</t>
  </si>
  <si>
    <t>Mondim de Basto</t>
  </si>
  <si>
    <t>Ermelo</t>
  </si>
  <si>
    <t>Varzigueto</t>
  </si>
  <si>
    <t>7°51'14.4"W</t>
  </si>
  <si>
    <t>PT/2012/051/RA</t>
  </si>
  <si>
    <t>Montalegre</t>
  </si>
  <si>
    <t>Pitões das Júnias</t>
  </si>
  <si>
    <t>7°57'01.3"W</t>
  </si>
  <si>
    <t>RC/PAL/3037</t>
  </si>
  <si>
    <t>FR-COR/2019/230</t>
  </si>
  <si>
    <t>9°7'26.5728"E</t>
  </si>
  <si>
    <t>MEDECORS</t>
  </si>
  <si>
    <t>Medetera corsicana Pollet, 2022</t>
  </si>
  <si>
    <t>RC/PAL/3630</t>
  </si>
  <si>
    <t>tiI-III brownish yellow; hypandrium with MEDECAER shape</t>
  </si>
  <si>
    <t>tiI-III brownish yellow; hypandrium with MEDECAER shape; hypopygium detached for study</t>
  </si>
  <si>
    <t>FR-COR/2019/235</t>
  </si>
  <si>
    <t>MEDEGIPY</t>
  </si>
  <si>
    <t>Medetera gibbosipyga Pollet, 2022</t>
  </si>
  <si>
    <t>RC/PAL/3425</t>
  </si>
  <si>
    <t>4dc; tiII without ad/pd bristle, hypandrium slender, with basal curv and apical enlargement; eye slightly bi-coloured</t>
  </si>
  <si>
    <t>ES/2014/187/AG</t>
  </si>
  <si>
    <t>Alta Ribagorça</t>
  </si>
  <si>
    <t>El Pont de Suert</t>
  </si>
  <si>
    <t>0°50'04.4"E</t>
  </si>
  <si>
    <t>ABIGA/16038</t>
  </si>
  <si>
    <t>Baltar</t>
  </si>
  <si>
    <t>7º46'49.4"W</t>
  </si>
  <si>
    <t>MEDELUSI</t>
  </si>
  <si>
    <t>Medetera lusitana Pollet, 2022</t>
  </si>
  <si>
    <t>RC/PAL/3304</t>
  </si>
  <si>
    <t>PT/2014/176/AG</t>
  </si>
  <si>
    <t>RC/PAL/2981</t>
  </si>
  <si>
    <t>PT/2013/208/AG</t>
  </si>
  <si>
    <t>Trinta</t>
  </si>
  <si>
    <t>7°22'21.7"W</t>
  </si>
  <si>
    <t>RC/PAL/2967</t>
  </si>
  <si>
    <t>PT/2013/186/RA</t>
  </si>
  <si>
    <t>Manteigas</t>
  </si>
  <si>
    <t>São Pedro (Manteigas)</t>
  </si>
  <si>
    <t>7°33'04.4"W</t>
  </si>
  <si>
    <t>RC/PAL/2972</t>
  </si>
  <si>
    <t>checked: sample + two Rhaphium sp. (females)</t>
  </si>
  <si>
    <t>PT/2013/272/AG</t>
  </si>
  <si>
    <t>RC/PAL/2973</t>
  </si>
  <si>
    <t>PT/2013/282/AG</t>
  </si>
  <si>
    <t>Covão d'Ametade</t>
  </si>
  <si>
    <t>7°35'17.4"W</t>
  </si>
  <si>
    <t>RC/PAL/2974</t>
  </si>
  <si>
    <t>PT/2013/165/AG</t>
  </si>
  <si>
    <t>Nave de Santo António</t>
  </si>
  <si>
    <t>7°34'37.4"W</t>
  </si>
  <si>
    <t>RC/PAL/2971</t>
  </si>
  <si>
    <t>PT/2015/330/RA</t>
  </si>
  <si>
    <t>Lapa dos Dinheiros</t>
  </si>
  <si>
    <t>7°39'07.5"W</t>
  </si>
  <si>
    <t>RC/PAL/3091</t>
  </si>
  <si>
    <t>checked: 5 dc, mesonotum not bluish</t>
  </si>
  <si>
    <t>PT/2014/200/AG</t>
  </si>
  <si>
    <t>Porto do Boi</t>
  </si>
  <si>
    <t>7°40'33.16"W</t>
  </si>
  <si>
    <t>PT/2014/376/AG</t>
  </si>
  <si>
    <t>Beira Baixa</t>
  </si>
  <si>
    <t>PT-05</t>
  </si>
  <si>
    <t>Castelo Branco</t>
  </si>
  <si>
    <t>Covilhã</t>
  </si>
  <si>
    <t>Cortes do Meio</t>
  </si>
  <si>
    <t>Alto da Pedrice</t>
  </si>
  <si>
    <t>7°34'35.14"W</t>
  </si>
  <si>
    <t>PT/2009/128/RA</t>
  </si>
  <si>
    <t>Avintes</t>
  </si>
  <si>
    <t>Parque Biológico de Gaia (PBG)</t>
  </si>
  <si>
    <t>8°33'35.0"W</t>
  </si>
  <si>
    <t>RC/PAL/3665</t>
  </si>
  <si>
    <t>RC/PAL/1920</t>
  </si>
  <si>
    <t>1m used for genital examination (not preserved)</t>
  </si>
  <si>
    <t>PT/2013/100/RA</t>
  </si>
  <si>
    <t>RC/PAL/3018</t>
  </si>
  <si>
    <t>PT/2016/392/RA</t>
  </si>
  <si>
    <t>PT-16</t>
  </si>
  <si>
    <t>Viana do Castelo</t>
  </si>
  <si>
    <t>Melgaço</t>
  </si>
  <si>
    <t>Castro Laboreiro</t>
  </si>
  <si>
    <t>Cainheiras</t>
  </si>
  <si>
    <t>8°08'18.8"W</t>
  </si>
  <si>
    <t>RS/PT/096</t>
  </si>
  <si>
    <t>checked: no bluish mesonotum, but only 4 strong dc</t>
  </si>
  <si>
    <t>PT/2015/313/RA</t>
  </si>
  <si>
    <t>Carrazedo</t>
  </si>
  <si>
    <t>6°54'06.2"W</t>
  </si>
  <si>
    <t>RC/PAL/2885</t>
  </si>
  <si>
    <t>checked: 5 dc, mesonotum greenish with bronze spot in centre on dorsum</t>
  </si>
  <si>
    <t>PT/2014/249/RA</t>
  </si>
  <si>
    <t>França</t>
  </si>
  <si>
    <t>Aldeia de Montesinho</t>
  </si>
  <si>
    <t>6°45'51.0"W</t>
  </si>
  <si>
    <t>RC/PAL/2907</t>
  </si>
  <si>
    <t>PT/2013/036/RA</t>
  </si>
  <si>
    <t>Bilhó</t>
  </si>
  <si>
    <t>7°50'53.3"W</t>
  </si>
  <si>
    <t>IT/2006/031/GN</t>
  </si>
  <si>
    <t>Marganai</t>
  </si>
  <si>
    <t>8.574515°E</t>
  </si>
  <si>
    <t>MEDEPARV</t>
  </si>
  <si>
    <t>Medetera parva Pollet, 2022</t>
  </si>
  <si>
    <t>RC/PAL/3504</t>
  </si>
  <si>
    <t>bi-coloured eyed species</t>
  </si>
  <si>
    <t>IT/2006/008/GN</t>
  </si>
  <si>
    <t>ES/2014/250/RA</t>
  </si>
  <si>
    <t>Soriguera</t>
  </si>
  <si>
    <t>1°12'07.5"E</t>
  </si>
  <si>
    <t>MEDEREPY</t>
  </si>
  <si>
    <t>Medetera rectipyga Pollet, 2022</t>
  </si>
  <si>
    <t>RC/PAL/3446</t>
  </si>
  <si>
    <t>3dc; tiII without ad/pd bristle; bi-coloured eyes; ac missing; surstylus straight</t>
  </si>
  <si>
    <t>ES/2014/167/RA&amp;AG</t>
  </si>
  <si>
    <t>41°30'40.7"</t>
  </si>
  <si>
    <t>42°12'59.6"</t>
  </si>
  <si>
    <t>42°18'42.2"</t>
  </si>
  <si>
    <t>42°27'03.6"</t>
  </si>
  <si>
    <t>42°12'12.2"</t>
  </si>
  <si>
    <t>38°16'54.4"</t>
  </si>
  <si>
    <t>39°34'24.0"</t>
  </si>
  <si>
    <t>42°28'56.2"</t>
  </si>
  <si>
    <t>38°34'45.1"</t>
  </si>
  <si>
    <t>38°58'42.6"</t>
  </si>
  <si>
    <t>41°46'20.3226"</t>
  </si>
  <si>
    <t>41°49'59.9"</t>
  </si>
  <si>
    <t>41°49'58.6"</t>
  </si>
  <si>
    <t>41°49'59.6"</t>
  </si>
  <si>
    <t>41°50'00.5"</t>
  </si>
  <si>
    <t>41°50'02.9"</t>
  </si>
  <si>
    <t>41°46'21.4"</t>
  </si>
  <si>
    <t>41°46'21.9"</t>
  </si>
  <si>
    <t>41°46'28.3"</t>
  </si>
  <si>
    <t>41°46'15.8046"</t>
  </si>
  <si>
    <t>41°46'11.823"</t>
  </si>
  <si>
    <t>41°46'11.5206"</t>
  </si>
  <si>
    <t>41°52'33.0"</t>
  </si>
  <si>
    <t>41°46.127'</t>
  </si>
  <si>
    <t>41°45.667'</t>
  </si>
  <si>
    <t>41°46.022'</t>
  </si>
  <si>
    <t>41°46.133'</t>
  </si>
  <si>
    <t>41°46.119'</t>
  </si>
  <si>
    <t>41°46.129'</t>
  </si>
  <si>
    <t>41°45.697'</t>
  </si>
  <si>
    <t>41°45.703'</t>
  </si>
  <si>
    <t>41°45'39.6"</t>
  </si>
  <si>
    <t>41°45'40.1"</t>
  </si>
  <si>
    <t>39.408932°</t>
  </si>
  <si>
    <t>39.345887°</t>
  </si>
  <si>
    <t>39.347590°</t>
  </si>
  <si>
    <t>39°23'49.2"</t>
  </si>
  <si>
    <t>40°28'05.4"</t>
  </si>
  <si>
    <t>40°19'41.26"</t>
  </si>
  <si>
    <t>40°21'54.3"</t>
  </si>
  <si>
    <t>40°12'20.0"</t>
  </si>
  <si>
    <t>40°05'27.5"</t>
  </si>
  <si>
    <t>41°09'33.4"</t>
  </si>
  <si>
    <t xml:space="preserve">41°07'18.4" </t>
  </si>
  <si>
    <t>39°26'52.8"</t>
  </si>
  <si>
    <t>39°09'56.20"</t>
  </si>
  <si>
    <t>41°30'43.0"</t>
  </si>
  <si>
    <t>41°30'42.0"</t>
  </si>
  <si>
    <t>41°28'16.4"</t>
  </si>
  <si>
    <t>41°30'16.9"</t>
  </si>
  <si>
    <t>41°44'16.7"</t>
  </si>
  <si>
    <t>39°26'23.3"</t>
  </si>
  <si>
    <t>39°31'46.66"</t>
  </si>
  <si>
    <t>41°50'22.1"</t>
  </si>
  <si>
    <t>41°50'47.1"</t>
  </si>
  <si>
    <t>41°51'01.3"</t>
  </si>
  <si>
    <t>41°31'48.2"</t>
  </si>
  <si>
    <t>41°25'29.8"</t>
  </si>
  <si>
    <t>41°17'13.4"</t>
  </si>
  <si>
    <t>41°13'58.8"</t>
  </si>
  <si>
    <t>41°27'17.6"</t>
  </si>
  <si>
    <t>41°29'52.4"</t>
  </si>
  <si>
    <t>41°22'44.0"</t>
  </si>
  <si>
    <t>41°49'48.7"</t>
  </si>
  <si>
    <t>41°46'14.898"</t>
  </si>
  <si>
    <t>42°21'22.4"</t>
  </si>
  <si>
    <t>41º54'2.5"</t>
  </si>
  <si>
    <t>40°30'31.1"</t>
  </si>
  <si>
    <t>40°22'10.4"</t>
  </si>
  <si>
    <t>40°19'42.2"</t>
  </si>
  <si>
    <t>40°19'07.0"</t>
  </si>
  <si>
    <t>40°21'50.1"</t>
  </si>
  <si>
    <t>40°22'17.69"</t>
  </si>
  <si>
    <t>40°18'38.83"</t>
  </si>
  <si>
    <t>41°05'57.9"</t>
  </si>
  <si>
    <t>42°01'32.8"</t>
  </si>
  <si>
    <t>41°45'51.7"</t>
  </si>
  <si>
    <t>41°56'33.0"</t>
  </si>
  <si>
    <t>41°23'48.7"</t>
  </si>
  <si>
    <t>39.354434°</t>
  </si>
  <si>
    <t>42°22'22.6"</t>
  </si>
  <si>
    <t>42°41'24.4"</t>
  </si>
  <si>
    <t>42°23'26.5"</t>
  </si>
  <si>
    <t>decimalLatitude</t>
  </si>
  <si>
    <t>family_nm</t>
  </si>
  <si>
    <t>specimen_id</t>
  </si>
  <si>
    <t>sample cd</t>
  </si>
  <si>
    <t>country cd</t>
  </si>
  <si>
    <t>state/province</t>
  </si>
  <si>
    <t>locality nm</t>
  </si>
  <si>
    <t>toponym nm</t>
  </si>
  <si>
    <t>sampling site cd</t>
  </si>
  <si>
    <t>sampling site desc</t>
  </si>
  <si>
    <t>date (b)</t>
  </si>
  <si>
    <t>date (e)</t>
  </si>
  <si>
    <t>method cd</t>
  </si>
  <si>
    <t>species cd</t>
  </si>
  <si>
    <t>no spm unsexed</t>
  </si>
  <si>
    <t>identified by</t>
  </si>
  <si>
    <t>preservation_cd</t>
  </si>
  <si>
    <t>Limoniidae</t>
  </si>
  <si>
    <t>MQ/2018/PdCo3/TracJes2/PR1/YPT1-10</t>
  </si>
  <si>
    <t>France</t>
  </si>
  <si>
    <t>Martinique</t>
  </si>
  <si>
    <t>Trace des Jésuites (bas) (Le Marigot)</t>
  </si>
  <si>
    <t>Pitons du Carbet</t>
  </si>
  <si>
    <t>MQ-TJ2-PR1</t>
  </si>
  <si>
    <t>primary forest</t>
  </si>
  <si>
    <t>14°44'52.4"</t>
  </si>
  <si>
    <t>Atypophthalmus (Atypophthalmus) vanewrighti Mederos, Pollet &amp; Oosterbroek, 2023</t>
  </si>
  <si>
    <t>Jorge Mederos</t>
  </si>
  <si>
    <t>MQ/2018/PdCo10/PlaBou/PR1/WPT1-10</t>
  </si>
  <si>
    <t>Plateau Boucher (Font-Saint-Denis)</t>
  </si>
  <si>
    <t>MQ-PLBO1</t>
  </si>
  <si>
    <t>in humid forest along trail</t>
  </si>
  <si>
    <t>Dicranomyia (Dicranomyia) alfaroi Alexander, 1922</t>
  </si>
  <si>
    <t>MQ/2018/PdCo3/TracJes1/PR1/BPT1-10</t>
  </si>
  <si>
    <t>Trace des Jésuites (haut) (Le Marigot)</t>
  </si>
  <si>
    <t>MQ-TJ1-PR1</t>
  </si>
  <si>
    <t>MQ/2018/PdCo3/TracJes1/SS1/YPT1-10</t>
  </si>
  <si>
    <t>MQ-TJ1-SS1</t>
  </si>
  <si>
    <t>MQ/2018/PdCo3/TracJes2/PR1/BPT1-10</t>
  </si>
  <si>
    <t>MQ/2018/PdCo3/TracJes2/SS1/YPT1-10</t>
  </si>
  <si>
    <t>MQ-TJ2-SS1</t>
  </si>
  <si>
    <t>MQ/2018/PdCo5/altRivRoug/SS2/YPT1-10</t>
  </si>
  <si>
    <t>along Route forestière de Palourde (Gros-Morne)</t>
  </si>
  <si>
    <t>MQ-altRR2</t>
  </si>
  <si>
    <t>primary forest (with rather sparse herb layer)</t>
  </si>
  <si>
    <t>MQ/2018/PdCo7/PlaPerd/PR1/BPT1-10</t>
  </si>
  <si>
    <t>Plateau Perdrix (Saint-Joseph)</t>
  </si>
  <si>
    <t>MQ-PLPE1</t>
  </si>
  <si>
    <t>Marc Pollet, Anja De Braekeleer &amp; Patrick Maréchal</t>
  </si>
  <si>
    <t>MQ/2018/PdCo7/PlaPerd/PR1/WPT1-10</t>
  </si>
  <si>
    <t>MQ/2018/PdCo7/PlaPerd/SS1/YPT1-10</t>
  </si>
  <si>
    <t>MQ-PLPE2</t>
  </si>
  <si>
    <t>MQ/2018/PdCo8/PlaClar/PR1/YPT1-10</t>
  </si>
  <si>
    <t>Plateau Clarck (Schoelcher)</t>
  </si>
  <si>
    <t>MQ-PLCL1</t>
  </si>
  <si>
    <t>MQ/2018/PdCo8/PlaClar/SS1/YPT1-10</t>
  </si>
  <si>
    <t>MQ-PLCL2</t>
  </si>
  <si>
    <t>MQ/2018/PdCo8/PlaClar/SS2/YPT1-10</t>
  </si>
  <si>
    <t>MQ-PLCL3</t>
  </si>
  <si>
    <t>primary forest along river Clark</t>
  </si>
  <si>
    <t>MQ/2018/PdCo9/PlaConc/PR1/BPT1-10</t>
  </si>
  <si>
    <t>Plateau Concorde (Case-Pilote)</t>
  </si>
  <si>
    <t>MQ-PLCO3</t>
  </si>
  <si>
    <t>primary forest (with moderately developed herb layer)</t>
  </si>
  <si>
    <t>MQ/2018/PdCo9/PlaConc/SS1/YPT1-10</t>
  </si>
  <si>
    <t>MQ-PLCO1</t>
  </si>
  <si>
    <t>secundary forest (with Banana plants)</t>
  </si>
  <si>
    <t>Elephantomyia (Elephantomyia) pertenuis Alexander, 1970</t>
  </si>
  <si>
    <t>MQ/2018/172</t>
  </si>
  <si>
    <t>on vegetation and muddy soil along trail (1st part of trail)</t>
  </si>
  <si>
    <t>MSW</t>
  </si>
  <si>
    <t>Erioptera (Mesocyphona) caliptera caliptera Say, 1823</t>
  </si>
  <si>
    <t>MQ/2018/203</t>
  </si>
  <si>
    <t>on vegetation along trail (SS2)</t>
  </si>
  <si>
    <t>Erioptera (Mesocyphona) gagneana Alexander, 1970</t>
  </si>
  <si>
    <t>MQ/2018/PdCo10/PlaBou/PR1/YPT1-10</t>
  </si>
  <si>
    <t>MQ/2018/PdCo10/PlaBou/SS1/YPT1-10</t>
  </si>
  <si>
    <t>MQ-PLBO2</t>
  </si>
  <si>
    <t>in edge of humid forest along trail</t>
  </si>
  <si>
    <t>MQ/2018/PdCo5/altRivRoug/PR1/WPT1-10</t>
  </si>
  <si>
    <t>along Route forestière de Calebassier (Gros-Morne)</t>
  </si>
  <si>
    <t>MQ-altRR3</t>
  </si>
  <si>
    <t>primary forest (with rather dense herb layer)</t>
  </si>
  <si>
    <t>MQ/2018/PdCo8/PlaClar/PR1/BPT1-10</t>
  </si>
  <si>
    <t>MQ/2018/PdCo8/PlaClar/PR1/WPT1-10</t>
  </si>
  <si>
    <t>MQ/2018/PdCo9/PlaConc/PR1/WPT1-10</t>
  </si>
  <si>
    <t>MQ/2018/PdCo9/PlaConc/SS2/YPT1-10</t>
  </si>
  <si>
    <t>MQ-PLCO2</t>
  </si>
  <si>
    <t>MQ/2018/PdCo10/PlaBou/PR1/BPT1-10</t>
  </si>
  <si>
    <t>Eriopterodes celestis dominicanus Alexander, 1970</t>
  </si>
  <si>
    <t>MQ/2018/PdCo5/altRivRoug/SS1/YPT1-10</t>
  </si>
  <si>
    <t>MQ-altRR1</t>
  </si>
  <si>
    <t>MQ/2018/079</t>
  </si>
  <si>
    <t>Fort-de-France</t>
  </si>
  <si>
    <t>Domaine de Bellevue</t>
  </si>
  <si>
    <t>MQ-DB-river</t>
  </si>
  <si>
    <t>rocks in river bed / wet seep on river bank</t>
  </si>
  <si>
    <t>Geranomyia sp.1</t>
  </si>
  <si>
    <t>MQ/2018/201</t>
  </si>
  <si>
    <t>on vegetation along trail to SS1-2</t>
  </si>
  <si>
    <t>MQ/2018/PdCo10/PlaBou/SS2/YPT1-10</t>
  </si>
  <si>
    <t>MQ-PLBO3</t>
  </si>
  <si>
    <t>at edge of humid forest and grassy patch</t>
  </si>
  <si>
    <t>MQ/2018/037</t>
  </si>
  <si>
    <t>on vegetation along brook Clark (nr site Plateau Clark)</t>
  </si>
  <si>
    <t>Geranomyia sp.2</t>
  </si>
  <si>
    <t>Geranomyia sp.3</t>
  </si>
  <si>
    <t>Geranomyia sp.4</t>
  </si>
  <si>
    <t>Geranomyia sp.5</t>
  </si>
  <si>
    <t>MQ/2018/PdCo1/RivSylv/PR1/BPT1-10</t>
  </si>
  <si>
    <t>Rivière Sylvestre (Le Lorrain)</t>
  </si>
  <si>
    <t>MQ-RS1</t>
  </si>
  <si>
    <t>Gonomyia (Leiponeura) subterminalis Alexander, 1927</t>
  </si>
  <si>
    <t>MQ/2018/PdCo1/RivSylv/PR1/WPT1-10</t>
  </si>
  <si>
    <t>MQ/2018/PdCo1/RivSylv/PR1/YPT1-10</t>
  </si>
  <si>
    <t>MQ/2018/PdCo1/RivSylv/SS1/YPT1-10</t>
  </si>
  <si>
    <t>MQ-RS2</t>
  </si>
  <si>
    <t>secondary forest with mahogany</t>
  </si>
  <si>
    <t>MQ/2018/PdCo3/TracJes1/PR1/WPT1-10</t>
  </si>
  <si>
    <t>MQ/2018/PdCo3/TracJes1/SS2/YPT1-10</t>
  </si>
  <si>
    <t>MQ-TJ1-SS2</t>
  </si>
  <si>
    <t>MQ/2018/PdCo3/TracJes2/PR1/WPT1-10</t>
  </si>
  <si>
    <t>MQ/2018/PdCo3/TracJes2/SS2/YPT1-10</t>
  </si>
  <si>
    <t>MQ-TJ2-SS2</t>
  </si>
  <si>
    <t>MQ/2018/PdCo5/altRivRoug/PR1/BPT1-10</t>
  </si>
  <si>
    <t>MQ/2018/PdCo5/altRivRoug/PR1/YPT1-10</t>
  </si>
  <si>
    <t>MQ/2018/PdCo7/PlaPerd/PR1/YPT1-10</t>
  </si>
  <si>
    <t>MQ/2018/PdCo9/PlaConc/PR1/YPT1-10</t>
  </si>
  <si>
    <t>Gonomyia (Paralipophleps) dikopis Alexander, 1970</t>
  </si>
  <si>
    <t>MQ/2018/098</t>
  </si>
  <si>
    <t>nr MQ-TJ2-SS1</t>
  </si>
  <si>
    <t>on vegetation, mostly along small stream</t>
  </si>
  <si>
    <t>Helius (Helius) albitarsis (Osten Sacken, 1888)</t>
  </si>
  <si>
    <t>Polymera (Polymera) albitarsis dominicae Alexander, 1939</t>
  </si>
  <si>
    <t>MQ/2018/097</t>
  </si>
  <si>
    <t>on vegetation but mostly on litter layer/soil!!!</t>
  </si>
  <si>
    <t>Polymera (Polymerodes) conjuncta Alexander, 1913</t>
  </si>
  <si>
    <t>Rhipidia (Rhipidia ) eremnocera (Alexander, 1970)</t>
  </si>
  <si>
    <t>MQ/2018/266</t>
  </si>
  <si>
    <t>Petite Anse (Les Anses d'Arlet)</t>
  </si>
  <si>
    <t>l'Anse (Morne Jacqueline)</t>
  </si>
  <si>
    <t>MQ-PETITANSE-2</t>
  </si>
  <si>
    <t>along path in xerophilous forest</t>
  </si>
  <si>
    <t>Rhipidia domestica Osten Sacken, 1860</t>
  </si>
  <si>
    <t>Rhipidia (Rhipidia) martiniquensis Mederos, Pollet &amp; Oosterbroek, 2023</t>
  </si>
  <si>
    <t>Rhipidia subcostalis Alexander, 1922</t>
  </si>
  <si>
    <t>Rhipidia subpectinata subpectinata Williston, 1896</t>
  </si>
  <si>
    <t>Rhipidia willistoniana (Alexander, 1929)</t>
  </si>
  <si>
    <t>MQ/2018/PdCo1/RivSylv/SS2/YPT1-10</t>
  </si>
  <si>
    <t>MQ-RS3</t>
  </si>
  <si>
    <t>Teucholabis annulata Williston, 1896</t>
  </si>
  <si>
    <t>Teucholabis (Teucholabis) carbetensis Mederos, Pollet &amp; Oosterbroek, 2023</t>
  </si>
  <si>
    <t>MQ/2018/204</t>
  </si>
  <si>
    <t>on muddy spots along trail towards Plateau Boucher sampling sites</t>
  </si>
  <si>
    <t>Toxorhina (Toxorhina) sp.1</t>
  </si>
  <si>
    <t>Toxorhina (Toxorhina) sp.2</t>
  </si>
  <si>
    <t>Tipulidae</t>
  </si>
  <si>
    <t>MQ/2018/293</t>
  </si>
  <si>
    <t>Morne Platine (Le Lorrain)</t>
  </si>
  <si>
    <t>humid forest (fôret hygrophile)</t>
  </si>
  <si>
    <t>Eddy Dumbardon-Martial</t>
  </si>
  <si>
    <t>Zelandotipula gelhausi Mederos, Pollet &amp; Oosterbroek, 2023</t>
  </si>
  <si>
    <t>14°43'08.7"</t>
  </si>
  <si>
    <t>14°44'56.4"</t>
  </si>
  <si>
    <t>14°44'57.4"</t>
  </si>
  <si>
    <t>14°44'51.7"</t>
  </si>
  <si>
    <t>14°43'16.3"</t>
  </si>
  <si>
    <t>14°41'17.4"</t>
  </si>
  <si>
    <t>14°41'21.3"</t>
  </si>
  <si>
    <t>14°40'55.5"</t>
  </si>
  <si>
    <t>14°40'58.6"</t>
  </si>
  <si>
    <t>14°41'04.2"</t>
  </si>
  <si>
    <t>14°40'44.9"</t>
  </si>
  <si>
    <t>14°40'55.1"</t>
  </si>
  <si>
    <t>14°40'44.94"</t>
  </si>
  <si>
    <t>14°43'09.9"</t>
  </si>
  <si>
    <t>14°43'08.9"</t>
  </si>
  <si>
    <t>14°43'28.2"</t>
  </si>
  <si>
    <t>14°40'44.6"</t>
  </si>
  <si>
    <t>14°43'15.3"</t>
  </si>
  <si>
    <t>14°37'34.6"</t>
  </si>
  <si>
    <t>14°43'16.2"</t>
  </si>
  <si>
    <t>14°43'09.6"</t>
  </si>
  <si>
    <t>14°40'56.4"</t>
  </si>
  <si>
    <t>14°46'31.2"</t>
  </si>
  <si>
    <t>14°46'29.4"</t>
  </si>
  <si>
    <t>14°44'57.3"</t>
  </si>
  <si>
    <t>14°44'52.3"</t>
  </si>
  <si>
    <t>14°44'51.1"</t>
  </si>
  <si>
    <t>14°28'29.8"</t>
  </si>
  <si>
    <t>14°46'39.3"</t>
  </si>
  <si>
    <t>14°45'29.6"</t>
  </si>
  <si>
    <t>61°05'05.8"</t>
  </si>
  <si>
    <t>61°06'00.6"</t>
  </si>
  <si>
    <t>61°05'04.3"</t>
  </si>
  <si>
    <t>61°05'06.7"</t>
  </si>
  <si>
    <t>61°05'06.5"</t>
  </si>
  <si>
    <t>61°04'06.0"</t>
  </si>
  <si>
    <t>61°04'50.1"</t>
  </si>
  <si>
    <t>61°04'53.6"</t>
  </si>
  <si>
    <t>61°06'13.2"</t>
  </si>
  <si>
    <t>61°06'13.3"</t>
  </si>
  <si>
    <t>61°06'10.9"</t>
  </si>
  <si>
    <t>61°06'22.9"</t>
  </si>
  <si>
    <t>61°06'41.4"</t>
  </si>
  <si>
    <t>61°06'52.1"</t>
  </si>
  <si>
    <t>61°05'58.9"</t>
  </si>
  <si>
    <t>61°06'00.4"</t>
  </si>
  <si>
    <t>61°03'51.9"</t>
  </si>
  <si>
    <t>61°06'20.0"</t>
  </si>
  <si>
    <t>61°03'58.8"</t>
  </si>
  <si>
    <t>61°04'14.5"</t>
  </si>
  <si>
    <t>62°05'59.6"</t>
  </si>
  <si>
    <t>61°06'14.2"</t>
  </si>
  <si>
    <t>61°03'54.8"</t>
  </si>
  <si>
    <t>61°03'51.3"</t>
  </si>
  <si>
    <t>61°05'08.4"</t>
  </si>
  <si>
    <t>61°05'08.2"</t>
  </si>
  <si>
    <t>61°05'07.0"</t>
  </si>
  <si>
    <t>61°04'34.3"</t>
  </si>
  <si>
    <t>61°03'34.8"</t>
  </si>
  <si>
    <t>61°04'22.5"</t>
  </si>
  <si>
    <t>decimalLongitude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</si>
</sst>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/mm/yyyy"/>
  </numFmts>
  <fonts count="3" x14ac:knownFonts="1">
    <font>
      <sz val="11"/>
      <color indexed="8"/>
      <name val="Calibri"/>
      <family val="2"/>
      <scheme val="minor"/>
    </font>
    <font>
      <sz val="10"/>
      <color indexed="8"/>
      <name val="Arial"/>
    </font>
    <font>
      <sz val="8"/>
      <color indexed="8"/>
      <name val="Comic Sans MS"/>
      <charset val="16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164" fontId="0" fillId="0" borderId="0" xfId="0" applyNumberFormat="1"/>
    <xf numFmtId="0" fontId="2" fillId="2" borderId="1" xfId="1" applyFont="1" applyFill="1" applyBorder="1" applyAlignment="1">
      <alignment horizontal="center"/>
    </xf>
    <xf numFmtId="0" fontId="2" fillId="0" borderId="1" xfId="1" applyFont="1" applyBorder="1" applyAlignment="1">
      <alignment wrapText="1"/>
    </xf>
    <xf numFmtId="0" fontId="2" fillId="0" borderId="1" xfId="1" applyFont="1" applyBorder="1" applyAlignment="1">
      <alignment horizontal="right" wrapText="1"/>
    </xf>
    <xf numFmtId="165" fontId="2" fillId="0" borderId="1" xfId="1" applyNumberFormat="1" applyFont="1" applyBorder="1" applyAlignment="1">
      <alignment horizontal="right" wrapText="1"/>
    </xf>
    <xf numFmtId="0" fontId="1" fillId="0" borderId="1" xfId="1" applyBorder="1"/>
  </cellXfs>
  <cellStyles count="2">
    <cellStyle name="Normal_Sheet1" xfId="1" xr:uid="{2441F846-6598-4B08-9BC2-302C2138057C}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mitri_brosens/Documents/Github/data-publication/datasets/martinique-tipuloidea-occurrenxces/data/raw/Dataset_GBIF_Martinique_Tipuloide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">
          <cell r="J2" t="e">
            <v>#NAME?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AE151"/>
  <sheetViews>
    <sheetView workbookViewId="0">
      <selection activeCell="M28" sqref="M28"/>
    </sheetView>
  </sheetViews>
  <sheetFormatPr defaultRowHeight="14.4" x14ac:dyDescent="0.3"/>
  <cols>
    <col min="12" max="12" width="14.88671875" bestFit="1" customWidth="1"/>
    <col min="13" max="13" width="33.21875" customWidth="1"/>
    <col min="14" max="14" width="12.5546875" bestFit="1" customWidth="1"/>
    <col min="15" max="15" width="12.5546875" customWidth="1"/>
  </cols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620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</row>
    <row r="2" spans="1:31" x14ac:dyDescent="0.3">
      <c r="A2">
        <v>118358</v>
      </c>
      <c r="B2" t="s">
        <v>29</v>
      </c>
      <c r="C2" t="s">
        <v>30</v>
      </c>
      <c r="D2" t="s">
        <v>31</v>
      </c>
      <c r="E2" t="s">
        <v>32</v>
      </c>
      <c r="H2" t="s">
        <v>33</v>
      </c>
      <c r="I2" t="s">
        <v>34</v>
      </c>
      <c r="J2" t="s">
        <v>33</v>
      </c>
      <c r="K2" t="s">
        <v>33</v>
      </c>
      <c r="L2" t="s">
        <v>537</v>
      </c>
      <c r="M2" cm="1">
        <f t="array" ref="M2">Convert_Decimal(L2)</f>
        <v>41.613055555555555</v>
      </c>
      <c r="N2" t="s">
        <v>35</v>
      </c>
      <c r="P2">
        <v>340</v>
      </c>
      <c r="R2" s="1">
        <v>42137.916666666664</v>
      </c>
      <c r="S2" t="s">
        <v>36</v>
      </c>
      <c r="T2" t="s">
        <v>37</v>
      </c>
      <c r="U2" t="s">
        <v>38</v>
      </c>
      <c r="V2" t="s">
        <v>39</v>
      </c>
      <c r="W2">
        <v>10</v>
      </c>
      <c r="X2">
        <v>3</v>
      </c>
      <c r="Y2" t="b">
        <v>0</v>
      </c>
      <c r="Z2" t="s">
        <v>40</v>
      </c>
      <c r="AA2" t="s">
        <v>41</v>
      </c>
      <c r="AB2" s="1">
        <v>44054.916666666664</v>
      </c>
      <c r="AC2" t="s">
        <v>42</v>
      </c>
      <c r="AD2" t="s">
        <v>43</v>
      </c>
    </row>
    <row r="3" spans="1:31" x14ac:dyDescent="0.3">
      <c r="A3">
        <v>118312</v>
      </c>
      <c r="B3" t="s">
        <v>44</v>
      </c>
      <c r="C3" t="s">
        <v>30</v>
      </c>
      <c r="D3" t="s">
        <v>45</v>
      </c>
      <c r="E3" t="s">
        <v>46</v>
      </c>
      <c r="H3" t="s">
        <v>33</v>
      </c>
      <c r="I3" t="s">
        <v>47</v>
      </c>
      <c r="J3" t="s">
        <v>33</v>
      </c>
      <c r="K3" t="s">
        <v>33</v>
      </c>
      <c r="L3" t="s">
        <v>538</v>
      </c>
      <c r="M3" cm="1">
        <f t="array" ref="M3">Convert_Decimal(L3)</f>
        <v>42.365555555555552</v>
      </c>
      <c r="N3" t="s">
        <v>48</v>
      </c>
      <c r="P3">
        <v>780</v>
      </c>
      <c r="R3" s="1">
        <v>42134.916666666664</v>
      </c>
      <c r="S3" t="s">
        <v>49</v>
      </c>
      <c r="T3" t="s">
        <v>50</v>
      </c>
      <c r="U3" t="s">
        <v>38</v>
      </c>
      <c r="V3" t="s">
        <v>39</v>
      </c>
      <c r="W3">
        <v>2</v>
      </c>
      <c r="X3">
        <v>1</v>
      </c>
      <c r="Y3" t="b">
        <v>0</v>
      </c>
      <c r="Z3" t="s">
        <v>40</v>
      </c>
      <c r="AA3" t="s">
        <v>41</v>
      </c>
      <c r="AB3" s="1">
        <v>44054.916666666664</v>
      </c>
      <c r="AC3" t="s">
        <v>42</v>
      </c>
      <c r="AD3" t="s">
        <v>43</v>
      </c>
    </row>
    <row r="4" spans="1:31" x14ac:dyDescent="0.3">
      <c r="A4">
        <v>118222</v>
      </c>
      <c r="B4" t="s">
        <v>51</v>
      </c>
      <c r="C4" t="s">
        <v>30</v>
      </c>
      <c r="D4" t="s">
        <v>45</v>
      </c>
      <c r="E4" t="s">
        <v>46</v>
      </c>
      <c r="H4" t="s">
        <v>33</v>
      </c>
      <c r="I4" t="s">
        <v>52</v>
      </c>
      <c r="J4" t="s">
        <v>33</v>
      </c>
      <c r="K4" t="s">
        <v>33</v>
      </c>
      <c r="L4" t="s">
        <v>539</v>
      </c>
      <c r="M4" cm="1">
        <f t="array" ref="M4">Convert_Decimal(L4)</f>
        <v>42.417222222222222</v>
      </c>
      <c r="N4" t="s">
        <v>53</v>
      </c>
      <c r="P4">
        <v>1030</v>
      </c>
      <c r="R4" s="1">
        <v>41773.916666666664</v>
      </c>
      <c r="S4" t="s">
        <v>36</v>
      </c>
      <c r="T4" t="s">
        <v>37</v>
      </c>
      <c r="U4" t="s">
        <v>38</v>
      </c>
      <c r="V4" t="s">
        <v>39</v>
      </c>
      <c r="W4">
        <v>0</v>
      </c>
      <c r="X4">
        <v>1</v>
      </c>
      <c r="Y4" t="b">
        <v>0</v>
      </c>
      <c r="Z4" t="s">
        <v>40</v>
      </c>
      <c r="AA4" t="s">
        <v>41</v>
      </c>
      <c r="AB4" s="1">
        <v>44054.916666666664</v>
      </c>
      <c r="AC4" t="s">
        <v>42</v>
      </c>
      <c r="AD4" t="s">
        <v>43</v>
      </c>
      <c r="AE4" t="s">
        <v>54</v>
      </c>
    </row>
    <row r="5" spans="1:31" x14ac:dyDescent="0.3">
      <c r="A5">
        <v>118223</v>
      </c>
      <c r="B5" t="s">
        <v>55</v>
      </c>
      <c r="C5" t="s">
        <v>30</v>
      </c>
      <c r="D5" t="s">
        <v>56</v>
      </c>
      <c r="E5" t="s">
        <v>57</v>
      </c>
      <c r="H5" t="s">
        <v>33</v>
      </c>
      <c r="I5" t="s">
        <v>58</v>
      </c>
      <c r="J5" t="s">
        <v>59</v>
      </c>
      <c r="K5" t="s">
        <v>33</v>
      </c>
      <c r="L5" t="s">
        <v>540</v>
      </c>
      <c r="M5" cm="1">
        <f t="array" ref="M5">Convert_Decimal(L5)</f>
        <v>42.46</v>
      </c>
      <c r="N5" t="s">
        <v>60</v>
      </c>
      <c r="P5">
        <v>1410</v>
      </c>
      <c r="R5" s="1">
        <v>41854.916666666664</v>
      </c>
      <c r="S5" t="s">
        <v>36</v>
      </c>
      <c r="T5" t="s">
        <v>61</v>
      </c>
      <c r="U5" t="s">
        <v>38</v>
      </c>
      <c r="V5" t="s">
        <v>39</v>
      </c>
      <c r="W5">
        <v>1</v>
      </c>
      <c r="X5">
        <v>0</v>
      </c>
      <c r="Y5" t="b">
        <v>0</v>
      </c>
      <c r="Z5" t="s">
        <v>40</v>
      </c>
      <c r="AA5" t="s">
        <v>41</v>
      </c>
      <c r="AB5" s="1">
        <v>44054.916666666664</v>
      </c>
      <c r="AC5" t="s">
        <v>42</v>
      </c>
      <c r="AD5" t="s">
        <v>43</v>
      </c>
    </row>
    <row r="6" spans="1:31" x14ac:dyDescent="0.3">
      <c r="A6">
        <v>117945</v>
      </c>
      <c r="B6" t="s">
        <v>62</v>
      </c>
      <c r="C6" t="s">
        <v>30</v>
      </c>
      <c r="D6" t="s">
        <v>63</v>
      </c>
      <c r="E6" t="s">
        <v>64</v>
      </c>
      <c r="H6" t="s">
        <v>33</v>
      </c>
      <c r="I6" t="s">
        <v>65</v>
      </c>
      <c r="J6" t="s">
        <v>33</v>
      </c>
      <c r="K6" t="s">
        <v>33</v>
      </c>
      <c r="L6" t="s">
        <v>541</v>
      </c>
      <c r="M6" cm="1">
        <f t="array" ref="M6">Convert_Decimal(L6)</f>
        <v>42.233888888888892</v>
      </c>
      <c r="N6" t="s">
        <v>66</v>
      </c>
      <c r="P6">
        <v>550</v>
      </c>
      <c r="R6" s="1">
        <v>42137.916666666664</v>
      </c>
      <c r="S6" t="s">
        <v>49</v>
      </c>
      <c r="T6" t="s">
        <v>37</v>
      </c>
      <c r="U6" t="s">
        <v>38</v>
      </c>
      <c r="V6" t="s">
        <v>39</v>
      </c>
      <c r="W6">
        <v>0</v>
      </c>
      <c r="X6">
        <v>1</v>
      </c>
      <c r="Y6" t="b">
        <v>0</v>
      </c>
      <c r="Z6" t="s">
        <v>40</v>
      </c>
      <c r="AA6" t="s">
        <v>41</v>
      </c>
      <c r="AB6" s="1">
        <v>44054.916666666664</v>
      </c>
      <c r="AC6" t="s">
        <v>42</v>
      </c>
      <c r="AD6" t="s">
        <v>43</v>
      </c>
      <c r="AE6" t="s">
        <v>67</v>
      </c>
    </row>
    <row r="7" spans="1:31" x14ac:dyDescent="0.3">
      <c r="A7">
        <v>118282</v>
      </c>
      <c r="B7" t="s">
        <v>68</v>
      </c>
      <c r="C7" t="s">
        <v>30</v>
      </c>
      <c r="D7" t="s">
        <v>69</v>
      </c>
      <c r="E7" t="s">
        <v>70</v>
      </c>
      <c r="H7" t="s">
        <v>33</v>
      </c>
      <c r="I7" t="s">
        <v>71</v>
      </c>
      <c r="J7" t="s">
        <v>33</v>
      </c>
      <c r="K7" t="s">
        <v>33</v>
      </c>
      <c r="L7" t="s">
        <v>542</v>
      </c>
      <c r="M7" cm="1">
        <f t="array" ref="M7">Convert_Decimal(L7)</f>
        <v>38.417777777777779</v>
      </c>
      <c r="N7" t="s">
        <v>72</v>
      </c>
      <c r="P7">
        <v>325</v>
      </c>
      <c r="R7" s="1">
        <v>42095.916666666664</v>
      </c>
      <c r="S7" t="s">
        <v>36</v>
      </c>
      <c r="T7" t="s">
        <v>37</v>
      </c>
      <c r="U7" t="s">
        <v>38</v>
      </c>
      <c r="V7" t="s">
        <v>39</v>
      </c>
      <c r="W7">
        <v>1</v>
      </c>
      <c r="X7">
        <v>0</v>
      </c>
      <c r="Y7" t="b">
        <v>0</v>
      </c>
      <c r="Z7" t="s">
        <v>40</v>
      </c>
      <c r="AA7" t="s">
        <v>41</v>
      </c>
      <c r="AB7" s="1">
        <v>44054.916666666664</v>
      </c>
      <c r="AC7" t="s">
        <v>42</v>
      </c>
      <c r="AD7" t="s">
        <v>43</v>
      </c>
    </row>
    <row r="8" spans="1:31" x14ac:dyDescent="0.3">
      <c r="A8">
        <v>117946</v>
      </c>
      <c r="B8" t="s">
        <v>73</v>
      </c>
      <c r="C8" t="s">
        <v>30</v>
      </c>
      <c r="D8" t="s">
        <v>69</v>
      </c>
      <c r="E8" t="s">
        <v>74</v>
      </c>
      <c r="H8" t="s">
        <v>33</v>
      </c>
      <c r="I8" t="s">
        <v>75</v>
      </c>
      <c r="J8" t="s">
        <v>33</v>
      </c>
      <c r="K8" t="s">
        <v>33</v>
      </c>
      <c r="L8" t="s">
        <v>543</v>
      </c>
      <c r="M8" cm="1">
        <f t="array" ref="M8">Convert_Decimal(L8)</f>
        <v>39.633333333333333</v>
      </c>
      <c r="N8" t="s">
        <v>76</v>
      </c>
      <c r="P8">
        <v>790</v>
      </c>
      <c r="R8" s="1">
        <v>42474.916666666664</v>
      </c>
      <c r="S8" t="s">
        <v>36</v>
      </c>
      <c r="T8" t="s">
        <v>61</v>
      </c>
      <c r="U8" t="s">
        <v>38</v>
      </c>
      <c r="V8" t="s">
        <v>39</v>
      </c>
      <c r="W8">
        <v>1</v>
      </c>
      <c r="X8">
        <v>0</v>
      </c>
      <c r="Y8" t="b">
        <v>0</v>
      </c>
      <c r="Z8" t="s">
        <v>40</v>
      </c>
      <c r="AA8" t="s">
        <v>41</v>
      </c>
      <c r="AB8" s="1">
        <v>44054.916666666664</v>
      </c>
      <c r="AC8" t="s">
        <v>42</v>
      </c>
      <c r="AD8" t="s">
        <v>43</v>
      </c>
    </row>
    <row r="9" spans="1:31" x14ac:dyDescent="0.3">
      <c r="A9">
        <v>118225</v>
      </c>
      <c r="B9" t="s">
        <v>77</v>
      </c>
      <c r="C9" t="s">
        <v>30</v>
      </c>
      <c r="D9" t="s">
        <v>78</v>
      </c>
      <c r="E9" t="s">
        <v>79</v>
      </c>
      <c r="H9" t="s">
        <v>33</v>
      </c>
      <c r="I9" t="s">
        <v>80</v>
      </c>
      <c r="J9" t="s">
        <v>81</v>
      </c>
      <c r="K9" t="s">
        <v>33</v>
      </c>
      <c r="L9" t="s">
        <v>544</v>
      </c>
      <c r="M9" cm="1">
        <f t="array" ref="M9">Convert_Decimal(L9)</f>
        <v>42.622777777777777</v>
      </c>
      <c r="N9" t="s">
        <v>82</v>
      </c>
      <c r="P9">
        <v>470</v>
      </c>
      <c r="R9" s="1">
        <v>41769.916666666664</v>
      </c>
      <c r="S9" t="s">
        <v>36</v>
      </c>
      <c r="T9" t="s">
        <v>37</v>
      </c>
      <c r="U9" t="s">
        <v>38</v>
      </c>
      <c r="V9" t="s">
        <v>39</v>
      </c>
      <c r="W9">
        <v>0</v>
      </c>
      <c r="X9">
        <v>1</v>
      </c>
      <c r="Y9" t="b">
        <v>0</v>
      </c>
      <c r="Z9" t="s">
        <v>40</v>
      </c>
      <c r="AA9" t="s">
        <v>41</v>
      </c>
      <c r="AB9" s="1">
        <v>44054.916666666664</v>
      </c>
      <c r="AC9" t="s">
        <v>42</v>
      </c>
      <c r="AD9" t="s">
        <v>43</v>
      </c>
    </row>
    <row r="10" spans="1:31" x14ac:dyDescent="0.3">
      <c r="A10">
        <v>120530</v>
      </c>
      <c r="B10" t="s">
        <v>83</v>
      </c>
      <c r="C10" t="s">
        <v>30</v>
      </c>
      <c r="D10" t="s">
        <v>78</v>
      </c>
      <c r="E10" t="s">
        <v>79</v>
      </c>
      <c r="H10" t="s">
        <v>84</v>
      </c>
      <c r="I10" t="s">
        <v>85</v>
      </c>
      <c r="J10" t="s">
        <v>33</v>
      </c>
      <c r="L10" t="s">
        <v>618</v>
      </c>
      <c r="M10" cm="1">
        <f t="array" ref="M10">Convert_Decimal(L10)</f>
        <v>42.751111111111108</v>
      </c>
      <c r="N10" t="s">
        <v>86</v>
      </c>
      <c r="P10">
        <v>1250</v>
      </c>
      <c r="R10" s="1">
        <v>39977.916666666664</v>
      </c>
      <c r="S10" t="s">
        <v>36</v>
      </c>
      <c r="T10" t="s">
        <v>87</v>
      </c>
      <c r="U10" t="s">
        <v>38</v>
      </c>
      <c r="V10" t="s">
        <v>39</v>
      </c>
      <c r="W10">
        <v>1</v>
      </c>
      <c r="X10">
        <v>0</v>
      </c>
      <c r="Y10" t="b">
        <v>0</v>
      </c>
      <c r="Z10" t="s">
        <v>88</v>
      </c>
      <c r="AA10" t="s">
        <v>41</v>
      </c>
      <c r="AB10" s="1">
        <v>44096.916666666664</v>
      </c>
      <c r="AC10" t="s">
        <v>42</v>
      </c>
      <c r="AD10" t="s">
        <v>43</v>
      </c>
    </row>
    <row r="11" spans="1:31" x14ac:dyDescent="0.3">
      <c r="A11">
        <v>118212</v>
      </c>
      <c r="B11" t="s">
        <v>89</v>
      </c>
      <c r="C11" t="s">
        <v>30</v>
      </c>
      <c r="D11" t="s">
        <v>78</v>
      </c>
      <c r="E11" t="s">
        <v>79</v>
      </c>
      <c r="H11" t="s">
        <v>90</v>
      </c>
      <c r="I11" t="s">
        <v>91</v>
      </c>
      <c r="J11" t="s">
        <v>33</v>
      </c>
      <c r="L11" t="s">
        <v>619</v>
      </c>
      <c r="M11" cm="1">
        <f t="array" ref="M11">Convert_Decimal(L11)</f>
        <v>42.456944444444446</v>
      </c>
      <c r="N11" t="s">
        <v>92</v>
      </c>
      <c r="P11">
        <v>300</v>
      </c>
      <c r="R11" s="1">
        <v>39366.916666666664</v>
      </c>
      <c r="S11" t="s">
        <v>36</v>
      </c>
      <c r="T11" t="s">
        <v>87</v>
      </c>
      <c r="U11" t="s">
        <v>38</v>
      </c>
      <c r="V11" t="s">
        <v>39</v>
      </c>
      <c r="W11">
        <v>0</v>
      </c>
      <c r="X11">
        <v>1</v>
      </c>
      <c r="Y11" t="b">
        <v>0</v>
      </c>
      <c r="Z11" t="s">
        <v>88</v>
      </c>
      <c r="AA11" t="s">
        <v>41</v>
      </c>
      <c r="AB11" s="1">
        <v>44051.916666666664</v>
      </c>
      <c r="AC11" t="s">
        <v>42</v>
      </c>
      <c r="AD11" t="s">
        <v>43</v>
      </c>
    </row>
    <row r="12" spans="1:31" x14ac:dyDescent="0.3">
      <c r="A12">
        <v>120667</v>
      </c>
      <c r="B12" t="s">
        <v>93</v>
      </c>
      <c r="C12" t="s">
        <v>30</v>
      </c>
      <c r="D12" t="s">
        <v>94</v>
      </c>
      <c r="E12" t="s">
        <v>95</v>
      </c>
      <c r="H12" t="s">
        <v>96</v>
      </c>
      <c r="I12" t="s">
        <v>96</v>
      </c>
      <c r="J12" t="s">
        <v>33</v>
      </c>
      <c r="K12" t="s">
        <v>33</v>
      </c>
      <c r="L12" t="s">
        <v>545</v>
      </c>
      <c r="M12" cm="1">
        <f t="array" ref="M12">Convert_Decimal(L12)</f>
        <v>38.691944444444445</v>
      </c>
      <c r="N12" t="s">
        <v>97</v>
      </c>
      <c r="R12" s="1">
        <v>39541.916666666664</v>
      </c>
      <c r="S12" t="s">
        <v>98</v>
      </c>
      <c r="T12" t="s">
        <v>99</v>
      </c>
      <c r="U12" t="s">
        <v>38</v>
      </c>
      <c r="V12" t="s">
        <v>39</v>
      </c>
      <c r="W12">
        <v>1</v>
      </c>
      <c r="X12">
        <v>1</v>
      </c>
      <c r="Y12" t="b">
        <v>0</v>
      </c>
      <c r="Z12" t="s">
        <v>100</v>
      </c>
      <c r="AA12" t="s">
        <v>41</v>
      </c>
      <c r="AB12" s="1">
        <v>44192.958333333336</v>
      </c>
      <c r="AC12" t="s">
        <v>42</v>
      </c>
      <c r="AD12" t="s">
        <v>43</v>
      </c>
    </row>
    <row r="13" spans="1:31" x14ac:dyDescent="0.3">
      <c r="A13">
        <v>120666</v>
      </c>
      <c r="B13" t="s">
        <v>101</v>
      </c>
      <c r="C13" t="s">
        <v>30</v>
      </c>
      <c r="D13" t="s">
        <v>94</v>
      </c>
      <c r="E13" t="s">
        <v>95</v>
      </c>
      <c r="H13" t="s">
        <v>96</v>
      </c>
      <c r="I13" t="s">
        <v>96</v>
      </c>
      <c r="J13" t="s">
        <v>33</v>
      </c>
      <c r="K13" t="s">
        <v>33</v>
      </c>
      <c r="L13" t="s">
        <v>545</v>
      </c>
      <c r="M13" cm="1">
        <f t="array" ref="M13">Convert_Decimal(L13)</f>
        <v>38.691944444444445</v>
      </c>
      <c r="N13" t="s">
        <v>97</v>
      </c>
      <c r="R13" s="1">
        <v>39541.916666666664</v>
      </c>
      <c r="S13" t="s">
        <v>98</v>
      </c>
      <c r="T13" t="s">
        <v>99</v>
      </c>
      <c r="U13" t="s">
        <v>38</v>
      </c>
      <c r="V13" t="s">
        <v>39</v>
      </c>
      <c r="W13">
        <v>1</v>
      </c>
      <c r="X13">
        <v>2</v>
      </c>
      <c r="Y13" t="b">
        <v>0</v>
      </c>
      <c r="Z13" t="s">
        <v>100</v>
      </c>
      <c r="AA13" t="s">
        <v>41</v>
      </c>
      <c r="AB13" s="1">
        <v>44192.958333333336</v>
      </c>
      <c r="AC13" t="s">
        <v>42</v>
      </c>
      <c r="AD13" t="s">
        <v>43</v>
      </c>
    </row>
    <row r="14" spans="1:31" x14ac:dyDescent="0.3">
      <c r="A14">
        <v>120665</v>
      </c>
      <c r="B14" t="s">
        <v>102</v>
      </c>
      <c r="C14" t="s">
        <v>30</v>
      </c>
      <c r="D14" t="s">
        <v>94</v>
      </c>
      <c r="E14" t="s">
        <v>95</v>
      </c>
      <c r="H14" t="s">
        <v>96</v>
      </c>
      <c r="I14" t="s">
        <v>96</v>
      </c>
      <c r="J14" t="s">
        <v>33</v>
      </c>
      <c r="K14" t="s">
        <v>33</v>
      </c>
      <c r="L14" t="s">
        <v>545</v>
      </c>
      <c r="M14" cm="1">
        <f t="array" ref="M14">Convert_Decimal(L14)</f>
        <v>38.691944444444445</v>
      </c>
      <c r="N14" t="s">
        <v>97</v>
      </c>
      <c r="R14" s="1">
        <v>39541.916666666664</v>
      </c>
      <c r="S14" t="s">
        <v>98</v>
      </c>
      <c r="T14" t="s">
        <v>99</v>
      </c>
      <c r="U14" t="s">
        <v>38</v>
      </c>
      <c r="V14" t="s">
        <v>39</v>
      </c>
      <c r="W14">
        <v>1</v>
      </c>
      <c r="X14">
        <v>0</v>
      </c>
      <c r="Y14" t="b">
        <v>0</v>
      </c>
      <c r="Z14" t="s">
        <v>100</v>
      </c>
      <c r="AA14" t="s">
        <v>41</v>
      </c>
      <c r="AB14" s="1">
        <v>44192.958333333336</v>
      </c>
      <c r="AC14" t="s">
        <v>42</v>
      </c>
      <c r="AD14" t="s">
        <v>43</v>
      </c>
    </row>
    <row r="15" spans="1:31" x14ac:dyDescent="0.3">
      <c r="A15">
        <v>120683</v>
      </c>
      <c r="B15" t="s">
        <v>103</v>
      </c>
      <c r="C15" t="s">
        <v>30</v>
      </c>
      <c r="D15" t="s">
        <v>94</v>
      </c>
      <c r="E15" t="s">
        <v>94</v>
      </c>
      <c r="H15" t="s">
        <v>104</v>
      </c>
      <c r="I15" t="s">
        <v>105</v>
      </c>
      <c r="J15" t="s">
        <v>104</v>
      </c>
      <c r="K15" t="s">
        <v>33</v>
      </c>
      <c r="L15" t="s">
        <v>546</v>
      </c>
      <c r="M15" cm="1">
        <f t="array" ref="M15">Convert_Decimal(L15)</f>
        <v>39.085000000000001</v>
      </c>
      <c r="N15" t="s">
        <v>106</v>
      </c>
      <c r="R15" s="1">
        <v>38842.916666666664</v>
      </c>
      <c r="S15" t="s">
        <v>98</v>
      </c>
      <c r="T15" t="s">
        <v>107</v>
      </c>
      <c r="U15" t="s">
        <v>38</v>
      </c>
      <c r="V15" t="s">
        <v>39</v>
      </c>
      <c r="W15">
        <v>1</v>
      </c>
      <c r="X15">
        <v>0</v>
      </c>
      <c r="Y15" t="b">
        <v>0</v>
      </c>
      <c r="Z15" t="s">
        <v>100</v>
      </c>
      <c r="AA15" t="s">
        <v>41</v>
      </c>
      <c r="AB15" s="1">
        <v>44192.958333333336</v>
      </c>
      <c r="AC15" t="s">
        <v>42</v>
      </c>
      <c r="AD15" t="s">
        <v>43</v>
      </c>
    </row>
    <row r="16" spans="1:31" x14ac:dyDescent="0.3">
      <c r="A16">
        <v>120838</v>
      </c>
      <c r="B16" t="s">
        <v>108</v>
      </c>
      <c r="C16" t="s">
        <v>109</v>
      </c>
      <c r="D16" t="s">
        <v>110</v>
      </c>
      <c r="E16" t="s">
        <v>111</v>
      </c>
      <c r="I16" t="s">
        <v>112</v>
      </c>
      <c r="J16" t="s">
        <v>113</v>
      </c>
      <c r="K16" t="s">
        <v>114</v>
      </c>
      <c r="L16" t="s">
        <v>547</v>
      </c>
      <c r="M16" cm="1">
        <f t="array" ref="M16">Convert_Decimal(L16)</f>
        <v>98.218333333333334</v>
      </c>
      <c r="N16" t="s">
        <v>115</v>
      </c>
      <c r="P16">
        <v>980</v>
      </c>
      <c r="Q16" s="1">
        <v>43629.916666666664</v>
      </c>
      <c r="R16" s="1">
        <v>43642.916666666664</v>
      </c>
      <c r="S16" t="s">
        <v>116</v>
      </c>
      <c r="T16" t="s">
        <v>117</v>
      </c>
      <c r="U16" t="s">
        <v>38</v>
      </c>
      <c r="V16" t="s">
        <v>39</v>
      </c>
      <c r="W16">
        <v>1</v>
      </c>
      <c r="X16">
        <v>1</v>
      </c>
      <c r="Y16" t="b">
        <v>0</v>
      </c>
      <c r="Z16" t="s">
        <v>118</v>
      </c>
      <c r="AA16" t="s">
        <v>41</v>
      </c>
      <c r="AB16" s="1">
        <v>44171.958333333336</v>
      </c>
      <c r="AC16" t="s">
        <v>42</v>
      </c>
      <c r="AD16" t="s">
        <v>43</v>
      </c>
    </row>
    <row r="17" spans="1:30" x14ac:dyDescent="0.3">
      <c r="A17">
        <v>99659</v>
      </c>
      <c r="B17" t="s">
        <v>119</v>
      </c>
      <c r="C17" t="s">
        <v>109</v>
      </c>
      <c r="D17" t="s">
        <v>110</v>
      </c>
      <c r="E17" t="s">
        <v>111</v>
      </c>
      <c r="I17" t="s">
        <v>112</v>
      </c>
      <c r="J17" t="s">
        <v>120</v>
      </c>
      <c r="K17" t="s">
        <v>121</v>
      </c>
      <c r="L17" t="s">
        <v>548</v>
      </c>
      <c r="M17" cm="1">
        <f t="array" ref="M17">Convert_Decimal(L17)</f>
        <v>41.983055555555552</v>
      </c>
      <c r="N17" t="s">
        <v>122</v>
      </c>
      <c r="P17">
        <v>1571</v>
      </c>
      <c r="Q17" s="1">
        <v>43641.916666666664</v>
      </c>
      <c r="R17" s="1">
        <v>43641.916666666664</v>
      </c>
      <c r="S17" t="s">
        <v>49</v>
      </c>
      <c r="T17" t="s">
        <v>41</v>
      </c>
      <c r="U17" t="s">
        <v>38</v>
      </c>
      <c r="V17" t="s">
        <v>39</v>
      </c>
      <c r="W17">
        <v>0</v>
      </c>
      <c r="X17">
        <v>4</v>
      </c>
      <c r="Y17" t="b">
        <v>0</v>
      </c>
      <c r="Z17" t="s">
        <v>123</v>
      </c>
      <c r="AA17" t="s">
        <v>41</v>
      </c>
      <c r="AB17" s="1">
        <v>44031.916666666664</v>
      </c>
      <c r="AC17" t="s">
        <v>42</v>
      </c>
      <c r="AD17" t="s">
        <v>43</v>
      </c>
    </row>
    <row r="18" spans="1:30" x14ac:dyDescent="0.3">
      <c r="A18">
        <v>99164</v>
      </c>
      <c r="B18" t="s">
        <v>119</v>
      </c>
      <c r="C18" t="s">
        <v>109</v>
      </c>
      <c r="D18" t="s">
        <v>110</v>
      </c>
      <c r="E18" t="s">
        <v>111</v>
      </c>
      <c r="I18" t="s">
        <v>112</v>
      </c>
      <c r="J18" t="s">
        <v>120</v>
      </c>
      <c r="K18" t="s">
        <v>121</v>
      </c>
      <c r="L18" t="s">
        <v>548</v>
      </c>
      <c r="M18" cm="1">
        <f t="array" ref="M18">Convert_Decimal(L18)</f>
        <v>41.983055555555552</v>
      </c>
      <c r="N18" t="s">
        <v>122</v>
      </c>
      <c r="P18">
        <v>1571</v>
      </c>
      <c r="Q18" s="1">
        <v>43641.916666666664</v>
      </c>
      <c r="R18" s="1">
        <v>43641.916666666664</v>
      </c>
      <c r="S18" t="s">
        <v>49</v>
      </c>
      <c r="T18" t="s">
        <v>41</v>
      </c>
      <c r="U18" t="s">
        <v>38</v>
      </c>
      <c r="V18" t="s">
        <v>39</v>
      </c>
      <c r="W18">
        <v>7</v>
      </c>
      <c r="X18">
        <v>0</v>
      </c>
      <c r="Y18" t="b">
        <v>0</v>
      </c>
      <c r="Z18" t="s">
        <v>124</v>
      </c>
      <c r="AA18" t="s">
        <v>41</v>
      </c>
      <c r="AB18" s="1">
        <v>44031.916666666664</v>
      </c>
      <c r="AC18" t="s">
        <v>42</v>
      </c>
      <c r="AD18" t="s">
        <v>43</v>
      </c>
    </row>
    <row r="19" spans="1:30" x14ac:dyDescent="0.3">
      <c r="A19">
        <v>99392</v>
      </c>
      <c r="B19" t="s">
        <v>125</v>
      </c>
      <c r="C19" t="s">
        <v>109</v>
      </c>
      <c r="D19" t="s">
        <v>110</v>
      </c>
      <c r="E19" t="s">
        <v>111</v>
      </c>
      <c r="I19" t="s">
        <v>112</v>
      </c>
      <c r="J19" t="s">
        <v>120</v>
      </c>
      <c r="K19" t="s">
        <v>126</v>
      </c>
      <c r="L19" t="s">
        <v>549</v>
      </c>
      <c r="M19" cm="1">
        <f t="array" ref="M19">Convert_Decimal(L19)</f>
        <v>41.979444444444447</v>
      </c>
      <c r="N19" t="s">
        <v>127</v>
      </c>
      <c r="P19">
        <v>1580</v>
      </c>
      <c r="Q19" s="1">
        <v>43641.916666666664</v>
      </c>
      <c r="R19" s="1">
        <v>43645.916666666664</v>
      </c>
      <c r="S19" t="s">
        <v>128</v>
      </c>
      <c r="T19" t="s">
        <v>41</v>
      </c>
      <c r="U19" t="s">
        <v>38</v>
      </c>
      <c r="V19" t="s">
        <v>39</v>
      </c>
      <c r="W19">
        <v>0</v>
      </c>
      <c r="X19">
        <v>1</v>
      </c>
      <c r="Y19" t="b">
        <v>0</v>
      </c>
      <c r="Z19" t="s">
        <v>129</v>
      </c>
      <c r="AA19" t="s">
        <v>41</v>
      </c>
      <c r="AB19" s="1">
        <v>44039.916666666664</v>
      </c>
      <c r="AC19" t="s">
        <v>42</v>
      </c>
      <c r="AD19" t="s">
        <v>43</v>
      </c>
    </row>
    <row r="20" spans="1:30" x14ac:dyDescent="0.3">
      <c r="A20">
        <v>99401</v>
      </c>
      <c r="B20" t="s">
        <v>130</v>
      </c>
      <c r="C20" t="s">
        <v>109</v>
      </c>
      <c r="D20" t="s">
        <v>110</v>
      </c>
      <c r="E20" t="s">
        <v>111</v>
      </c>
      <c r="I20" t="s">
        <v>112</v>
      </c>
      <c r="J20" t="s">
        <v>120</v>
      </c>
      <c r="K20" t="s">
        <v>126</v>
      </c>
      <c r="L20" t="s">
        <v>549</v>
      </c>
      <c r="M20" cm="1">
        <f t="array" ref="M20">Convert_Decimal(L20)</f>
        <v>41.979444444444447</v>
      </c>
      <c r="N20" t="s">
        <v>127</v>
      </c>
      <c r="P20">
        <v>1580</v>
      </c>
      <c r="Q20" s="1">
        <v>43641.916666666664</v>
      </c>
      <c r="R20" s="1">
        <v>43645.916666666664</v>
      </c>
      <c r="S20" t="s">
        <v>131</v>
      </c>
      <c r="T20" t="s">
        <v>41</v>
      </c>
      <c r="U20" t="s">
        <v>38</v>
      </c>
      <c r="V20" t="s">
        <v>39</v>
      </c>
      <c r="W20">
        <v>1</v>
      </c>
      <c r="X20">
        <v>1</v>
      </c>
      <c r="Y20" t="b">
        <v>0</v>
      </c>
      <c r="Z20" t="s">
        <v>129</v>
      </c>
      <c r="AA20" t="s">
        <v>41</v>
      </c>
      <c r="AB20" s="1">
        <v>44039.916666666664</v>
      </c>
      <c r="AC20" t="s">
        <v>42</v>
      </c>
      <c r="AD20" t="s">
        <v>43</v>
      </c>
    </row>
    <row r="21" spans="1:30" x14ac:dyDescent="0.3">
      <c r="A21">
        <v>99393</v>
      </c>
      <c r="B21" t="s">
        <v>130</v>
      </c>
      <c r="C21" t="s">
        <v>109</v>
      </c>
      <c r="D21" t="s">
        <v>110</v>
      </c>
      <c r="E21" t="s">
        <v>111</v>
      </c>
      <c r="I21" t="s">
        <v>112</v>
      </c>
      <c r="J21" t="s">
        <v>120</v>
      </c>
      <c r="K21" t="s">
        <v>126</v>
      </c>
      <c r="L21" t="s">
        <v>549</v>
      </c>
      <c r="M21" cm="1">
        <f t="array" ref="M21">Convert_Decimal(L21)</f>
        <v>41.979444444444447</v>
      </c>
      <c r="N21" t="s">
        <v>127</v>
      </c>
      <c r="P21">
        <v>1580</v>
      </c>
      <c r="Q21" s="1">
        <v>43641.916666666664</v>
      </c>
      <c r="R21" s="1">
        <v>43645.916666666664</v>
      </c>
      <c r="S21" t="s">
        <v>131</v>
      </c>
      <c r="T21" t="s">
        <v>41</v>
      </c>
      <c r="U21" t="s">
        <v>38</v>
      </c>
      <c r="V21" t="s">
        <v>39</v>
      </c>
      <c r="W21">
        <v>0</v>
      </c>
      <c r="X21">
        <v>1</v>
      </c>
      <c r="Y21" t="b">
        <v>0</v>
      </c>
      <c r="Z21" t="s">
        <v>129</v>
      </c>
      <c r="AA21" t="s">
        <v>41</v>
      </c>
      <c r="AB21" s="1">
        <v>44039.916666666664</v>
      </c>
      <c r="AC21" t="s">
        <v>42</v>
      </c>
      <c r="AD21" t="s">
        <v>43</v>
      </c>
    </row>
    <row r="22" spans="1:30" x14ac:dyDescent="0.3">
      <c r="A22">
        <v>99395</v>
      </c>
      <c r="B22" t="s">
        <v>132</v>
      </c>
      <c r="C22" t="s">
        <v>109</v>
      </c>
      <c r="D22" t="s">
        <v>110</v>
      </c>
      <c r="E22" t="s">
        <v>111</v>
      </c>
      <c r="I22" t="s">
        <v>112</v>
      </c>
      <c r="J22" t="s">
        <v>120</v>
      </c>
      <c r="K22" t="s">
        <v>133</v>
      </c>
      <c r="L22" t="s">
        <v>550</v>
      </c>
      <c r="M22" cm="1">
        <f t="array" ref="M22">Convert_Decimal(L22)</f>
        <v>41.982222222222219</v>
      </c>
      <c r="N22" t="s">
        <v>134</v>
      </c>
      <c r="P22">
        <v>1556</v>
      </c>
      <c r="Q22" s="1">
        <v>43641.916666666664</v>
      </c>
      <c r="R22" s="1">
        <v>43645.916666666664</v>
      </c>
      <c r="S22" t="s">
        <v>128</v>
      </c>
      <c r="T22" t="s">
        <v>41</v>
      </c>
      <c r="U22" t="s">
        <v>38</v>
      </c>
      <c r="V22" t="s">
        <v>39</v>
      </c>
      <c r="W22">
        <v>2</v>
      </c>
      <c r="X22">
        <v>0</v>
      </c>
      <c r="Y22" t="b">
        <v>0</v>
      </c>
      <c r="Z22" t="s">
        <v>129</v>
      </c>
      <c r="AA22" t="s">
        <v>41</v>
      </c>
      <c r="AB22" s="1">
        <v>44039.916666666664</v>
      </c>
      <c r="AC22" t="s">
        <v>42</v>
      </c>
      <c r="AD22" t="s">
        <v>43</v>
      </c>
    </row>
    <row r="23" spans="1:30" x14ac:dyDescent="0.3">
      <c r="A23">
        <v>99394</v>
      </c>
      <c r="B23" t="s">
        <v>135</v>
      </c>
      <c r="C23" t="s">
        <v>109</v>
      </c>
      <c r="D23" t="s">
        <v>110</v>
      </c>
      <c r="E23" t="s">
        <v>111</v>
      </c>
      <c r="I23" t="s">
        <v>112</v>
      </c>
      <c r="J23" t="s">
        <v>120</v>
      </c>
      <c r="K23" t="s">
        <v>133</v>
      </c>
      <c r="L23" t="s">
        <v>550</v>
      </c>
      <c r="M23" cm="1">
        <f t="array" ref="M23">Convert_Decimal(L23)</f>
        <v>41.982222222222219</v>
      </c>
      <c r="N23" t="s">
        <v>134</v>
      </c>
      <c r="P23">
        <v>1556</v>
      </c>
      <c r="Q23" s="1">
        <v>43641.916666666664</v>
      </c>
      <c r="R23" s="1">
        <v>43645.916666666664</v>
      </c>
      <c r="S23" t="s">
        <v>136</v>
      </c>
      <c r="T23" t="s">
        <v>41</v>
      </c>
      <c r="U23" t="s">
        <v>38</v>
      </c>
      <c r="V23" t="s">
        <v>39</v>
      </c>
      <c r="W23">
        <v>0</v>
      </c>
      <c r="X23">
        <v>1</v>
      </c>
      <c r="Y23" t="b">
        <v>0</v>
      </c>
      <c r="Z23" t="s">
        <v>129</v>
      </c>
      <c r="AA23" t="s">
        <v>41</v>
      </c>
      <c r="AB23" s="1">
        <v>44039.916666666664</v>
      </c>
      <c r="AC23" t="s">
        <v>42</v>
      </c>
      <c r="AD23" t="s">
        <v>43</v>
      </c>
    </row>
    <row r="24" spans="1:30" x14ac:dyDescent="0.3">
      <c r="A24">
        <v>99400</v>
      </c>
      <c r="B24" t="s">
        <v>137</v>
      </c>
      <c r="C24" t="s">
        <v>109</v>
      </c>
      <c r="D24" t="s">
        <v>110</v>
      </c>
      <c r="E24" t="s">
        <v>111</v>
      </c>
      <c r="I24" t="s">
        <v>112</v>
      </c>
      <c r="J24" t="s">
        <v>120</v>
      </c>
      <c r="K24" t="s">
        <v>133</v>
      </c>
      <c r="L24" t="s">
        <v>550</v>
      </c>
      <c r="M24" cm="1">
        <f t="array" ref="M24">Convert_Decimal(L24)</f>
        <v>41.982222222222219</v>
      </c>
      <c r="N24" t="s">
        <v>134</v>
      </c>
      <c r="P24">
        <v>1556</v>
      </c>
      <c r="Q24" s="1">
        <v>43641.916666666664</v>
      </c>
      <c r="R24" s="1">
        <v>43645.916666666664</v>
      </c>
      <c r="S24" t="s">
        <v>131</v>
      </c>
      <c r="T24" t="s">
        <v>41</v>
      </c>
      <c r="U24" t="s">
        <v>38</v>
      </c>
      <c r="V24" t="s">
        <v>39</v>
      </c>
      <c r="W24">
        <v>1</v>
      </c>
      <c r="X24">
        <v>0</v>
      </c>
      <c r="Y24" t="b">
        <v>0</v>
      </c>
      <c r="Z24" t="s">
        <v>129</v>
      </c>
      <c r="AA24" t="s">
        <v>41</v>
      </c>
      <c r="AB24" s="1">
        <v>44039.916666666664</v>
      </c>
      <c r="AC24" t="s">
        <v>42</v>
      </c>
      <c r="AD24" t="s">
        <v>43</v>
      </c>
    </row>
    <row r="25" spans="1:30" x14ac:dyDescent="0.3">
      <c r="A25">
        <v>99399</v>
      </c>
      <c r="B25" t="s">
        <v>137</v>
      </c>
      <c r="C25" t="s">
        <v>109</v>
      </c>
      <c r="D25" t="s">
        <v>110</v>
      </c>
      <c r="E25" t="s">
        <v>111</v>
      </c>
      <c r="I25" t="s">
        <v>112</v>
      </c>
      <c r="J25" t="s">
        <v>120</v>
      </c>
      <c r="K25" t="s">
        <v>133</v>
      </c>
      <c r="L25" t="s">
        <v>550</v>
      </c>
      <c r="M25" cm="1">
        <f t="array" ref="M25">Convert_Decimal(L25)</f>
        <v>41.982222222222219</v>
      </c>
      <c r="N25" t="s">
        <v>134</v>
      </c>
      <c r="P25">
        <v>1556</v>
      </c>
      <c r="Q25" s="1">
        <v>43641.916666666664</v>
      </c>
      <c r="R25" s="1">
        <v>43645.916666666664</v>
      </c>
      <c r="S25" t="s">
        <v>131</v>
      </c>
      <c r="T25" t="s">
        <v>41</v>
      </c>
      <c r="U25" t="s">
        <v>38</v>
      </c>
      <c r="V25" t="s">
        <v>39</v>
      </c>
      <c r="W25">
        <v>2</v>
      </c>
      <c r="X25">
        <v>0</v>
      </c>
      <c r="Y25" t="b">
        <v>0</v>
      </c>
      <c r="Z25" t="s">
        <v>129</v>
      </c>
      <c r="AA25" t="s">
        <v>41</v>
      </c>
      <c r="AB25" s="1">
        <v>44039.916666666664</v>
      </c>
      <c r="AC25" t="s">
        <v>42</v>
      </c>
      <c r="AD25" t="s">
        <v>43</v>
      </c>
    </row>
    <row r="26" spans="1:30" x14ac:dyDescent="0.3">
      <c r="A26">
        <v>99396</v>
      </c>
      <c r="B26" t="s">
        <v>137</v>
      </c>
      <c r="C26" t="s">
        <v>109</v>
      </c>
      <c r="D26" t="s">
        <v>110</v>
      </c>
      <c r="E26" t="s">
        <v>111</v>
      </c>
      <c r="I26" t="s">
        <v>112</v>
      </c>
      <c r="J26" t="s">
        <v>120</v>
      </c>
      <c r="K26" t="s">
        <v>133</v>
      </c>
      <c r="L26" t="s">
        <v>550</v>
      </c>
      <c r="M26" cm="1">
        <f t="array" ref="M26">Convert_Decimal(L26)</f>
        <v>41.982222222222219</v>
      </c>
      <c r="N26" t="s">
        <v>134</v>
      </c>
      <c r="P26">
        <v>1556</v>
      </c>
      <c r="Q26" s="1">
        <v>43641.916666666664</v>
      </c>
      <c r="R26" s="1">
        <v>43645.916666666664</v>
      </c>
      <c r="S26" t="s">
        <v>131</v>
      </c>
      <c r="T26" t="s">
        <v>41</v>
      </c>
      <c r="U26" t="s">
        <v>38</v>
      </c>
      <c r="V26" t="s">
        <v>39</v>
      </c>
      <c r="W26">
        <v>3</v>
      </c>
      <c r="X26">
        <v>2</v>
      </c>
      <c r="Y26" t="b">
        <v>0</v>
      </c>
      <c r="Z26" t="s">
        <v>129</v>
      </c>
      <c r="AA26" t="s">
        <v>41</v>
      </c>
      <c r="AB26" s="1">
        <v>44039.916666666664</v>
      </c>
      <c r="AC26" t="s">
        <v>42</v>
      </c>
      <c r="AD26" t="s">
        <v>43</v>
      </c>
    </row>
    <row r="27" spans="1:30" x14ac:dyDescent="0.3">
      <c r="A27">
        <v>99397</v>
      </c>
      <c r="B27" t="s">
        <v>138</v>
      </c>
      <c r="C27" t="s">
        <v>109</v>
      </c>
      <c r="D27" t="s">
        <v>110</v>
      </c>
      <c r="E27" t="s">
        <v>111</v>
      </c>
      <c r="I27" t="s">
        <v>112</v>
      </c>
      <c r="J27" t="s">
        <v>120</v>
      </c>
      <c r="K27" t="s">
        <v>139</v>
      </c>
      <c r="L27" t="s">
        <v>551</v>
      </c>
      <c r="M27" cm="1">
        <f t="array" ref="M27">Convert_Decimal(L27)</f>
        <v>41.834722222222226</v>
      </c>
      <c r="N27" t="s">
        <v>140</v>
      </c>
      <c r="P27">
        <v>1568</v>
      </c>
      <c r="Q27" s="1">
        <v>43641.916666666664</v>
      </c>
      <c r="R27" s="1">
        <v>43645.916666666664</v>
      </c>
      <c r="S27" t="s">
        <v>128</v>
      </c>
      <c r="T27" t="s">
        <v>41</v>
      </c>
      <c r="U27" t="s">
        <v>38</v>
      </c>
      <c r="V27" t="s">
        <v>39</v>
      </c>
      <c r="W27">
        <v>2</v>
      </c>
      <c r="X27">
        <v>2</v>
      </c>
      <c r="Y27" t="b">
        <v>0</v>
      </c>
      <c r="Z27" t="s">
        <v>129</v>
      </c>
      <c r="AA27" t="s">
        <v>41</v>
      </c>
      <c r="AB27" s="1">
        <v>44039.916666666664</v>
      </c>
      <c r="AC27" t="s">
        <v>42</v>
      </c>
      <c r="AD27" t="s">
        <v>43</v>
      </c>
    </row>
    <row r="28" spans="1:30" x14ac:dyDescent="0.3">
      <c r="A28">
        <v>99398</v>
      </c>
      <c r="B28" t="s">
        <v>141</v>
      </c>
      <c r="C28" t="s">
        <v>109</v>
      </c>
      <c r="D28" t="s">
        <v>110</v>
      </c>
      <c r="E28" t="s">
        <v>111</v>
      </c>
      <c r="I28" t="s">
        <v>112</v>
      </c>
      <c r="J28" t="s">
        <v>120</v>
      </c>
      <c r="K28" t="s">
        <v>142</v>
      </c>
      <c r="L28" t="s">
        <v>552</v>
      </c>
      <c r="M28" t="e">
        <f>[1]Sheet1!$J$2</f>
        <v>#NAME?</v>
      </c>
      <c r="N28" t="s">
        <v>143</v>
      </c>
      <c r="P28">
        <v>1559</v>
      </c>
      <c r="Q28" s="1">
        <v>43641.916666666664</v>
      </c>
      <c r="R28" s="1">
        <v>43645.916666666664</v>
      </c>
      <c r="S28" t="s">
        <v>131</v>
      </c>
      <c r="T28" t="s">
        <v>41</v>
      </c>
      <c r="U28" t="s">
        <v>38</v>
      </c>
      <c r="V28" t="s">
        <v>39</v>
      </c>
      <c r="W28">
        <v>1</v>
      </c>
      <c r="X28">
        <v>3</v>
      </c>
      <c r="Y28" t="b">
        <v>0</v>
      </c>
      <c r="Z28" t="s">
        <v>129</v>
      </c>
      <c r="AA28" t="s">
        <v>41</v>
      </c>
      <c r="AB28" s="1">
        <v>44039.916666666664</v>
      </c>
      <c r="AC28" t="s">
        <v>42</v>
      </c>
      <c r="AD28" t="s">
        <v>43</v>
      </c>
    </row>
    <row r="29" spans="1:30" x14ac:dyDescent="0.3">
      <c r="A29">
        <v>99219</v>
      </c>
      <c r="B29" t="s">
        <v>144</v>
      </c>
      <c r="C29" t="s">
        <v>109</v>
      </c>
      <c r="D29" t="s">
        <v>110</v>
      </c>
      <c r="E29" t="s">
        <v>111</v>
      </c>
      <c r="I29" t="s">
        <v>145</v>
      </c>
      <c r="J29" t="s">
        <v>113</v>
      </c>
      <c r="K29" t="s">
        <v>146</v>
      </c>
      <c r="L29" t="s">
        <v>553</v>
      </c>
      <c r="M29" cm="1">
        <f t="array" ref="M29">Convert_Decimal(L29)</f>
        <v>41.826111111111111</v>
      </c>
      <c r="N29" t="s">
        <v>147</v>
      </c>
      <c r="P29">
        <v>935</v>
      </c>
      <c r="Q29" s="1">
        <v>43638.916666666664</v>
      </c>
      <c r="R29" s="1">
        <v>43642.916666666664</v>
      </c>
      <c r="S29" t="s">
        <v>131</v>
      </c>
      <c r="T29" t="s">
        <v>41</v>
      </c>
      <c r="U29" t="s">
        <v>38</v>
      </c>
      <c r="V29" t="s">
        <v>39</v>
      </c>
      <c r="W29">
        <v>0</v>
      </c>
      <c r="X29">
        <v>1</v>
      </c>
      <c r="Y29" t="b">
        <v>0</v>
      </c>
      <c r="Z29" t="s">
        <v>148</v>
      </c>
      <c r="AA29" t="s">
        <v>41</v>
      </c>
      <c r="AB29" s="1">
        <v>44039.916666666664</v>
      </c>
      <c r="AC29" t="s">
        <v>42</v>
      </c>
      <c r="AD29" t="s">
        <v>43</v>
      </c>
    </row>
    <row r="30" spans="1:30" x14ac:dyDescent="0.3">
      <c r="A30">
        <v>99220</v>
      </c>
      <c r="B30" t="s">
        <v>149</v>
      </c>
      <c r="C30" t="s">
        <v>109</v>
      </c>
      <c r="D30" t="s">
        <v>110</v>
      </c>
      <c r="E30" t="s">
        <v>111</v>
      </c>
      <c r="I30" t="s">
        <v>145</v>
      </c>
      <c r="J30" t="s">
        <v>113</v>
      </c>
      <c r="K30" t="s">
        <v>150</v>
      </c>
      <c r="L30" t="s">
        <v>554</v>
      </c>
      <c r="M30" cm="1">
        <f t="array" ref="M30">Convert_Decimal(L30)</f>
        <v>41.827500000000001</v>
      </c>
      <c r="N30" t="s">
        <v>151</v>
      </c>
      <c r="P30">
        <v>934</v>
      </c>
      <c r="Q30" s="1">
        <v>43638.916666666664</v>
      </c>
      <c r="R30" s="1">
        <v>43642.916666666664</v>
      </c>
      <c r="S30" t="s">
        <v>131</v>
      </c>
      <c r="T30" t="s">
        <v>41</v>
      </c>
      <c r="U30" t="s">
        <v>38</v>
      </c>
      <c r="V30" t="s">
        <v>39</v>
      </c>
      <c r="W30">
        <v>2</v>
      </c>
      <c r="X30">
        <v>0</v>
      </c>
      <c r="Y30" t="b">
        <v>0</v>
      </c>
      <c r="Z30" t="s">
        <v>148</v>
      </c>
      <c r="AA30" t="s">
        <v>41</v>
      </c>
      <c r="AB30" s="1">
        <v>44039.916666666664</v>
      </c>
      <c r="AC30" t="s">
        <v>42</v>
      </c>
      <c r="AD30" t="s">
        <v>43</v>
      </c>
    </row>
    <row r="31" spans="1:30" x14ac:dyDescent="0.3">
      <c r="A31">
        <v>99218</v>
      </c>
      <c r="B31" t="s">
        <v>152</v>
      </c>
      <c r="C31" t="s">
        <v>109</v>
      </c>
      <c r="D31" t="s">
        <v>110</v>
      </c>
      <c r="E31" t="s">
        <v>111</v>
      </c>
      <c r="I31" t="s">
        <v>145</v>
      </c>
      <c r="J31" t="s">
        <v>113</v>
      </c>
      <c r="K31" t="s">
        <v>153</v>
      </c>
      <c r="L31" t="s">
        <v>555</v>
      </c>
      <c r="M31" cm="1">
        <f t="array" ref="M31">Convert_Decimal(L31)</f>
        <v>41.845277777777781</v>
      </c>
      <c r="N31" t="s">
        <v>154</v>
      </c>
      <c r="P31">
        <v>845</v>
      </c>
      <c r="Q31" s="1">
        <v>43638.916666666664</v>
      </c>
      <c r="R31" s="1">
        <v>43642.916666666664</v>
      </c>
      <c r="S31" t="s">
        <v>131</v>
      </c>
      <c r="T31" t="s">
        <v>41</v>
      </c>
      <c r="U31" t="s">
        <v>38</v>
      </c>
      <c r="V31" t="s">
        <v>39</v>
      </c>
      <c r="W31">
        <v>0</v>
      </c>
      <c r="X31">
        <v>1</v>
      </c>
      <c r="Y31" t="b">
        <v>0</v>
      </c>
      <c r="Z31" t="s">
        <v>148</v>
      </c>
      <c r="AA31" t="s">
        <v>41</v>
      </c>
      <c r="AB31" s="1">
        <v>44039.916666666664</v>
      </c>
      <c r="AC31" t="s">
        <v>42</v>
      </c>
      <c r="AD31" t="s">
        <v>43</v>
      </c>
    </row>
    <row r="32" spans="1:30" x14ac:dyDescent="0.3">
      <c r="A32">
        <v>120924</v>
      </c>
      <c r="B32" t="s">
        <v>155</v>
      </c>
      <c r="C32" t="s">
        <v>109</v>
      </c>
      <c r="D32" t="s">
        <v>110</v>
      </c>
      <c r="E32" t="s">
        <v>111</v>
      </c>
      <c r="I32" t="s">
        <v>156</v>
      </c>
      <c r="J32" t="s">
        <v>113</v>
      </c>
      <c r="K32" t="s">
        <v>157</v>
      </c>
      <c r="L32" t="s">
        <v>556</v>
      </c>
      <c r="M32" cm="1">
        <f t="array" ref="M32">Convert_Decimal(L32)</f>
        <v>85.668333333333337</v>
      </c>
      <c r="N32" t="s">
        <v>158</v>
      </c>
      <c r="P32">
        <v>949</v>
      </c>
      <c r="Q32" s="1">
        <v>43629.916666666664</v>
      </c>
      <c r="R32" s="1">
        <v>43642.916666666664</v>
      </c>
      <c r="S32" t="s">
        <v>116</v>
      </c>
      <c r="T32" t="s">
        <v>117</v>
      </c>
      <c r="U32" t="s">
        <v>38</v>
      </c>
      <c r="V32" t="s">
        <v>39</v>
      </c>
      <c r="W32">
        <v>1</v>
      </c>
      <c r="X32">
        <v>3</v>
      </c>
      <c r="Y32" t="b">
        <v>0</v>
      </c>
      <c r="Z32" t="s">
        <v>118</v>
      </c>
      <c r="AA32" t="s">
        <v>41</v>
      </c>
      <c r="AB32" s="1">
        <v>44171.958333333336</v>
      </c>
      <c r="AC32" t="s">
        <v>42</v>
      </c>
      <c r="AD32" t="s">
        <v>43</v>
      </c>
    </row>
    <row r="33" spans="1:30" x14ac:dyDescent="0.3">
      <c r="A33">
        <v>120857</v>
      </c>
      <c r="B33" t="s">
        <v>159</v>
      </c>
      <c r="C33" t="s">
        <v>109</v>
      </c>
      <c r="D33" t="s">
        <v>110</v>
      </c>
      <c r="E33" t="s">
        <v>111</v>
      </c>
      <c r="I33" t="s">
        <v>156</v>
      </c>
      <c r="J33" t="s">
        <v>113</v>
      </c>
      <c r="K33" t="s">
        <v>157</v>
      </c>
      <c r="L33" t="s">
        <v>557</v>
      </c>
      <c r="M33" cm="1">
        <f t="array" ref="M33">Convert_Decimal(L33)</f>
        <v>45.050833333333337</v>
      </c>
      <c r="N33" t="s">
        <v>160</v>
      </c>
      <c r="P33">
        <v>929</v>
      </c>
      <c r="Q33" s="1">
        <v>43629.916666666664</v>
      </c>
      <c r="R33" s="1">
        <v>43642.916666666664</v>
      </c>
      <c r="S33" t="s">
        <v>116</v>
      </c>
      <c r="T33" t="s">
        <v>117</v>
      </c>
      <c r="U33" t="s">
        <v>38</v>
      </c>
      <c r="V33" t="s">
        <v>39</v>
      </c>
      <c r="W33">
        <v>3</v>
      </c>
      <c r="X33">
        <v>2</v>
      </c>
      <c r="Y33" t="b">
        <v>0</v>
      </c>
      <c r="Z33" t="s">
        <v>118</v>
      </c>
      <c r="AA33" t="s">
        <v>41</v>
      </c>
      <c r="AB33" s="1">
        <v>44171.958333333336</v>
      </c>
      <c r="AC33" t="s">
        <v>42</v>
      </c>
      <c r="AD33" t="s">
        <v>43</v>
      </c>
    </row>
    <row r="34" spans="1:30" x14ac:dyDescent="0.3">
      <c r="A34">
        <v>120935</v>
      </c>
      <c r="B34" t="s">
        <v>161</v>
      </c>
      <c r="C34" t="s">
        <v>109</v>
      </c>
      <c r="D34" t="s">
        <v>110</v>
      </c>
      <c r="E34" t="s">
        <v>111</v>
      </c>
      <c r="I34" t="s">
        <v>156</v>
      </c>
      <c r="J34" t="s">
        <v>113</v>
      </c>
      <c r="K34" t="s">
        <v>157</v>
      </c>
      <c r="L34" t="s">
        <v>558</v>
      </c>
      <c r="M34" cm="1">
        <f t="array" ref="M34">Convert_Decimal(L34)</f>
        <v>73.768333333333331</v>
      </c>
      <c r="N34" t="s">
        <v>162</v>
      </c>
      <c r="P34">
        <v>936</v>
      </c>
      <c r="Q34" s="1">
        <v>43629.916666666664</v>
      </c>
      <c r="R34" s="1">
        <v>43642.916666666664</v>
      </c>
      <c r="S34" t="s">
        <v>116</v>
      </c>
      <c r="T34" t="s">
        <v>117</v>
      </c>
      <c r="U34" t="s">
        <v>38</v>
      </c>
      <c r="V34" t="s">
        <v>39</v>
      </c>
      <c r="W34">
        <v>0</v>
      </c>
      <c r="X34">
        <v>4</v>
      </c>
      <c r="Y34" t="b">
        <v>0</v>
      </c>
      <c r="Z34" t="s">
        <v>118</v>
      </c>
      <c r="AA34" t="s">
        <v>41</v>
      </c>
      <c r="AB34" s="1">
        <v>44171.958333333336</v>
      </c>
      <c r="AC34" t="s">
        <v>42</v>
      </c>
      <c r="AD34" t="s">
        <v>43</v>
      </c>
    </row>
    <row r="35" spans="1:30" x14ac:dyDescent="0.3">
      <c r="A35">
        <v>120882</v>
      </c>
      <c r="B35" t="s">
        <v>163</v>
      </c>
      <c r="C35" t="s">
        <v>109</v>
      </c>
      <c r="D35" t="s">
        <v>110</v>
      </c>
      <c r="E35" t="s">
        <v>111</v>
      </c>
      <c r="I35" t="s">
        <v>156</v>
      </c>
      <c r="J35" t="s">
        <v>113</v>
      </c>
      <c r="K35" t="s">
        <v>157</v>
      </c>
      <c r="L35" t="s">
        <v>556</v>
      </c>
      <c r="M35" cm="1">
        <f t="array" ref="M35">Convert_Decimal(L35)</f>
        <v>85.668333333333337</v>
      </c>
      <c r="N35" t="s">
        <v>158</v>
      </c>
      <c r="P35">
        <v>949</v>
      </c>
      <c r="Q35" s="1">
        <v>43642.916666666664</v>
      </c>
      <c r="R35" s="1">
        <v>43656.916666666664</v>
      </c>
      <c r="S35" t="s">
        <v>116</v>
      </c>
      <c r="T35" t="s">
        <v>117</v>
      </c>
      <c r="U35" t="s">
        <v>38</v>
      </c>
      <c r="V35" t="s">
        <v>39</v>
      </c>
      <c r="W35">
        <v>1</v>
      </c>
      <c r="X35">
        <v>0</v>
      </c>
      <c r="Y35" t="b">
        <v>0</v>
      </c>
      <c r="Z35" t="s">
        <v>118</v>
      </c>
      <c r="AA35" t="s">
        <v>41</v>
      </c>
      <c r="AB35" s="1">
        <v>44171.958333333336</v>
      </c>
      <c r="AC35" t="s">
        <v>42</v>
      </c>
      <c r="AD35" t="s">
        <v>43</v>
      </c>
    </row>
    <row r="36" spans="1:30" x14ac:dyDescent="0.3">
      <c r="A36">
        <v>120786</v>
      </c>
      <c r="B36" t="s">
        <v>164</v>
      </c>
      <c r="C36" t="s">
        <v>109</v>
      </c>
      <c r="D36" t="s">
        <v>110</v>
      </c>
      <c r="E36" t="s">
        <v>111</v>
      </c>
      <c r="I36" t="s">
        <v>156</v>
      </c>
      <c r="J36" t="s">
        <v>113</v>
      </c>
      <c r="K36" t="s">
        <v>157</v>
      </c>
      <c r="L36" t="s">
        <v>558</v>
      </c>
      <c r="M36" cm="1">
        <f t="array" ref="M36">Convert_Decimal(L36)</f>
        <v>73.768333333333331</v>
      </c>
      <c r="N36" t="s">
        <v>162</v>
      </c>
      <c r="P36">
        <v>936</v>
      </c>
      <c r="Q36" s="1">
        <v>43642.916666666664</v>
      </c>
      <c r="R36" s="1">
        <v>43656.916666666664</v>
      </c>
      <c r="S36" t="s">
        <v>116</v>
      </c>
      <c r="T36" t="s">
        <v>117</v>
      </c>
      <c r="U36" t="s">
        <v>38</v>
      </c>
      <c r="V36" t="s">
        <v>39</v>
      </c>
      <c r="W36">
        <v>0</v>
      </c>
      <c r="X36">
        <v>1</v>
      </c>
      <c r="Y36" t="b">
        <v>0</v>
      </c>
      <c r="Z36" t="s">
        <v>118</v>
      </c>
      <c r="AA36" t="s">
        <v>41</v>
      </c>
      <c r="AB36" s="1">
        <v>44171.958333333336</v>
      </c>
      <c r="AC36" t="s">
        <v>42</v>
      </c>
      <c r="AD36" t="s">
        <v>43</v>
      </c>
    </row>
    <row r="37" spans="1:30" x14ac:dyDescent="0.3">
      <c r="A37">
        <v>120903</v>
      </c>
      <c r="B37" t="s">
        <v>163</v>
      </c>
      <c r="C37" t="s">
        <v>109</v>
      </c>
      <c r="D37" t="s">
        <v>110</v>
      </c>
      <c r="E37" t="s">
        <v>111</v>
      </c>
      <c r="I37" t="s">
        <v>156</v>
      </c>
      <c r="J37" t="s">
        <v>113</v>
      </c>
      <c r="K37" t="s">
        <v>157</v>
      </c>
      <c r="L37" t="s">
        <v>556</v>
      </c>
      <c r="M37" cm="1">
        <f t="array" ref="M37">Convert_Decimal(L37)</f>
        <v>85.668333333333337</v>
      </c>
      <c r="N37" t="s">
        <v>158</v>
      </c>
      <c r="P37">
        <v>949</v>
      </c>
      <c r="Q37" s="1">
        <v>43642.916666666664</v>
      </c>
      <c r="R37" s="1">
        <v>43656.916666666664</v>
      </c>
      <c r="S37" t="s">
        <v>116</v>
      </c>
      <c r="T37" t="s">
        <v>117</v>
      </c>
      <c r="U37" t="s">
        <v>38</v>
      </c>
      <c r="V37" t="s">
        <v>39</v>
      </c>
      <c r="W37">
        <v>0</v>
      </c>
      <c r="X37">
        <v>1</v>
      </c>
      <c r="Y37" t="b">
        <v>0</v>
      </c>
      <c r="Z37" t="s">
        <v>118</v>
      </c>
      <c r="AA37" t="s">
        <v>41</v>
      </c>
      <c r="AB37" s="1">
        <v>44171.958333333336</v>
      </c>
      <c r="AC37" t="s">
        <v>42</v>
      </c>
      <c r="AD37" t="s">
        <v>43</v>
      </c>
    </row>
    <row r="38" spans="1:30" x14ac:dyDescent="0.3">
      <c r="A38">
        <v>120816</v>
      </c>
      <c r="B38" t="s">
        <v>165</v>
      </c>
      <c r="C38" t="s">
        <v>109</v>
      </c>
      <c r="D38" t="s">
        <v>110</v>
      </c>
      <c r="E38" t="s">
        <v>111</v>
      </c>
      <c r="I38" t="s">
        <v>156</v>
      </c>
      <c r="J38" t="s">
        <v>113</v>
      </c>
      <c r="K38" t="s">
        <v>157</v>
      </c>
      <c r="L38" t="s">
        <v>558</v>
      </c>
      <c r="M38" cm="1">
        <f t="array" ref="M38">Convert_Decimal(L38)</f>
        <v>73.768333333333331</v>
      </c>
      <c r="N38" t="s">
        <v>162</v>
      </c>
      <c r="P38">
        <v>936</v>
      </c>
      <c r="Q38" s="1">
        <v>43726.916666666664</v>
      </c>
      <c r="R38" s="1">
        <v>43740.916666666664</v>
      </c>
      <c r="S38" t="s">
        <v>116</v>
      </c>
      <c r="T38" t="s">
        <v>117</v>
      </c>
      <c r="U38" t="s">
        <v>38</v>
      </c>
      <c r="V38" t="s">
        <v>39</v>
      </c>
      <c r="W38">
        <v>0</v>
      </c>
      <c r="X38">
        <v>2</v>
      </c>
      <c r="Y38" t="b">
        <v>0</v>
      </c>
      <c r="Z38" t="s">
        <v>118</v>
      </c>
      <c r="AA38" t="s">
        <v>41</v>
      </c>
      <c r="AB38" s="1">
        <v>44171.958333333336</v>
      </c>
      <c r="AC38" t="s">
        <v>42</v>
      </c>
      <c r="AD38" t="s">
        <v>43</v>
      </c>
    </row>
    <row r="39" spans="1:30" x14ac:dyDescent="0.3">
      <c r="A39">
        <v>99655</v>
      </c>
      <c r="B39" t="s">
        <v>166</v>
      </c>
      <c r="C39" t="s">
        <v>109</v>
      </c>
      <c r="D39" t="s">
        <v>110</v>
      </c>
      <c r="E39" t="s">
        <v>111</v>
      </c>
      <c r="I39" t="s">
        <v>167</v>
      </c>
      <c r="J39" t="s">
        <v>168</v>
      </c>
      <c r="K39" t="s">
        <v>169</v>
      </c>
      <c r="L39" t="s">
        <v>559</v>
      </c>
      <c r="M39" cm="1">
        <f t="array" ref="M39">Convert_Decimal(L39)</f>
        <v>41.958333333333336</v>
      </c>
      <c r="N39" t="s">
        <v>170</v>
      </c>
      <c r="P39">
        <v>1251</v>
      </c>
      <c r="Q39" s="1">
        <v>43640.916666666664</v>
      </c>
      <c r="R39" s="1">
        <v>43640.916666666664</v>
      </c>
      <c r="S39" t="s">
        <v>49</v>
      </c>
      <c r="T39" t="s">
        <v>41</v>
      </c>
      <c r="U39" t="s">
        <v>38</v>
      </c>
      <c r="V39" t="s">
        <v>39</v>
      </c>
      <c r="W39">
        <v>0</v>
      </c>
      <c r="X39">
        <v>1</v>
      </c>
      <c r="Y39" t="b">
        <v>0</v>
      </c>
      <c r="Z39" t="s">
        <v>123</v>
      </c>
      <c r="AA39" t="s">
        <v>41</v>
      </c>
      <c r="AB39" s="1">
        <v>44031.916666666664</v>
      </c>
      <c r="AC39" t="s">
        <v>42</v>
      </c>
      <c r="AD39" t="s">
        <v>43</v>
      </c>
    </row>
    <row r="40" spans="1:30" x14ac:dyDescent="0.3">
      <c r="A40">
        <v>99023</v>
      </c>
      <c r="B40" t="s">
        <v>171</v>
      </c>
      <c r="C40" t="s">
        <v>109</v>
      </c>
      <c r="D40" t="s">
        <v>110</v>
      </c>
      <c r="E40" t="s">
        <v>111</v>
      </c>
      <c r="I40" t="s">
        <v>172</v>
      </c>
      <c r="J40" t="s">
        <v>173</v>
      </c>
      <c r="K40" t="s">
        <v>174</v>
      </c>
      <c r="L40" t="s">
        <v>560</v>
      </c>
      <c r="M40" t="e" cm="1">
        <f t="array" ref="M40">Convert_Decimal(L40)</f>
        <v>#VALUE!</v>
      </c>
      <c r="N40" t="s">
        <v>175</v>
      </c>
      <c r="P40">
        <v>1095</v>
      </c>
      <c r="Q40" s="1">
        <v>43639.916666666664</v>
      </c>
      <c r="R40" s="1">
        <v>43639.916666666664</v>
      </c>
      <c r="S40" t="s">
        <v>36</v>
      </c>
      <c r="T40" t="s">
        <v>41</v>
      </c>
      <c r="U40" t="s">
        <v>38</v>
      </c>
      <c r="V40" t="s">
        <v>39</v>
      </c>
      <c r="W40">
        <v>2</v>
      </c>
      <c r="X40">
        <v>0</v>
      </c>
      <c r="Y40" t="b">
        <v>0</v>
      </c>
      <c r="Z40" t="s">
        <v>123</v>
      </c>
      <c r="AA40" t="s">
        <v>41</v>
      </c>
      <c r="AB40" s="1">
        <v>44030.916666666664</v>
      </c>
      <c r="AC40" t="s">
        <v>42</v>
      </c>
      <c r="AD40" t="s">
        <v>43</v>
      </c>
    </row>
    <row r="41" spans="1:30" x14ac:dyDescent="0.3">
      <c r="A41">
        <v>99643</v>
      </c>
      <c r="B41" t="s">
        <v>176</v>
      </c>
      <c r="C41" t="s">
        <v>109</v>
      </c>
      <c r="D41" t="s">
        <v>110</v>
      </c>
      <c r="E41" t="s">
        <v>111</v>
      </c>
      <c r="I41" t="s">
        <v>172</v>
      </c>
      <c r="J41" t="s">
        <v>173</v>
      </c>
      <c r="K41" t="s">
        <v>174</v>
      </c>
      <c r="L41" t="s">
        <v>561</v>
      </c>
      <c r="M41" t="e" cm="1">
        <f t="array" ref="M41">Convert_Decimal(L41)</f>
        <v>#VALUE!</v>
      </c>
      <c r="N41" t="s">
        <v>177</v>
      </c>
      <c r="P41">
        <v>1154</v>
      </c>
      <c r="Q41" s="1">
        <v>43639.916666666664</v>
      </c>
      <c r="R41" s="1">
        <v>43639.916666666664</v>
      </c>
      <c r="S41" t="s">
        <v>36</v>
      </c>
      <c r="T41" t="s">
        <v>41</v>
      </c>
      <c r="U41" t="s">
        <v>38</v>
      </c>
      <c r="V41" t="s">
        <v>39</v>
      </c>
      <c r="W41">
        <v>0</v>
      </c>
      <c r="X41">
        <v>1</v>
      </c>
      <c r="Y41" t="b">
        <v>0</v>
      </c>
      <c r="Z41" t="s">
        <v>123</v>
      </c>
      <c r="AA41" t="s">
        <v>41</v>
      </c>
      <c r="AB41" s="1">
        <v>44030.916666666664</v>
      </c>
      <c r="AC41" t="s">
        <v>42</v>
      </c>
      <c r="AD41" t="s">
        <v>43</v>
      </c>
    </row>
    <row r="42" spans="1:30" x14ac:dyDescent="0.3">
      <c r="A42">
        <v>99024</v>
      </c>
      <c r="B42" t="s">
        <v>178</v>
      </c>
      <c r="C42" t="s">
        <v>109</v>
      </c>
      <c r="D42" t="s">
        <v>110</v>
      </c>
      <c r="E42" t="s">
        <v>111</v>
      </c>
      <c r="I42" t="s">
        <v>172</v>
      </c>
      <c r="J42" t="s">
        <v>173</v>
      </c>
      <c r="K42" t="s">
        <v>174</v>
      </c>
      <c r="L42" t="s">
        <v>562</v>
      </c>
      <c r="M42" t="e" cm="1">
        <f t="array" ref="M42">Convert_Decimal(L42)</f>
        <v>#VALUE!</v>
      </c>
      <c r="N42" t="s">
        <v>179</v>
      </c>
      <c r="P42">
        <v>1117</v>
      </c>
      <c r="Q42" s="1">
        <v>43639.916666666664</v>
      </c>
      <c r="R42" s="1">
        <v>43639.916666666664</v>
      </c>
      <c r="S42" t="s">
        <v>49</v>
      </c>
      <c r="T42" t="s">
        <v>41</v>
      </c>
      <c r="U42" t="s">
        <v>38</v>
      </c>
      <c r="V42" t="s">
        <v>39</v>
      </c>
      <c r="W42">
        <v>3</v>
      </c>
      <c r="X42">
        <v>0</v>
      </c>
      <c r="Y42" t="b">
        <v>0</v>
      </c>
      <c r="Z42" t="s">
        <v>123</v>
      </c>
      <c r="AA42" t="s">
        <v>41</v>
      </c>
      <c r="AB42" s="1">
        <v>44030.916666666664</v>
      </c>
      <c r="AC42" t="s">
        <v>42</v>
      </c>
      <c r="AD42" t="s">
        <v>43</v>
      </c>
    </row>
    <row r="43" spans="1:30" x14ac:dyDescent="0.3">
      <c r="A43">
        <v>99644</v>
      </c>
      <c r="B43" t="s">
        <v>178</v>
      </c>
      <c r="C43" t="s">
        <v>109</v>
      </c>
      <c r="D43" t="s">
        <v>110</v>
      </c>
      <c r="E43" t="s">
        <v>111</v>
      </c>
      <c r="I43" t="s">
        <v>172</v>
      </c>
      <c r="J43" t="s">
        <v>173</v>
      </c>
      <c r="K43" t="s">
        <v>174</v>
      </c>
      <c r="L43" t="s">
        <v>562</v>
      </c>
      <c r="M43" t="e" cm="1">
        <f t="array" ref="M43">Convert_Decimal(L43)</f>
        <v>#VALUE!</v>
      </c>
      <c r="N43" t="s">
        <v>179</v>
      </c>
      <c r="P43">
        <v>1117</v>
      </c>
      <c r="Q43" s="1">
        <v>43639.916666666664</v>
      </c>
      <c r="R43" s="1">
        <v>43639.916666666664</v>
      </c>
      <c r="S43" t="s">
        <v>49</v>
      </c>
      <c r="T43" t="s">
        <v>41</v>
      </c>
      <c r="U43" t="s">
        <v>38</v>
      </c>
      <c r="V43" t="s">
        <v>39</v>
      </c>
      <c r="W43">
        <v>0</v>
      </c>
      <c r="X43">
        <v>2</v>
      </c>
      <c r="Y43" t="b">
        <v>0</v>
      </c>
      <c r="Z43" t="s">
        <v>123</v>
      </c>
      <c r="AA43" t="s">
        <v>41</v>
      </c>
      <c r="AB43" s="1">
        <v>44030.916666666664</v>
      </c>
      <c r="AC43" t="s">
        <v>42</v>
      </c>
      <c r="AD43" t="s">
        <v>43</v>
      </c>
    </row>
    <row r="44" spans="1:30" x14ac:dyDescent="0.3">
      <c r="A44">
        <v>99646</v>
      </c>
      <c r="B44" t="s">
        <v>180</v>
      </c>
      <c r="C44" t="s">
        <v>109</v>
      </c>
      <c r="D44" t="s">
        <v>110</v>
      </c>
      <c r="E44" t="s">
        <v>111</v>
      </c>
      <c r="I44" t="s">
        <v>172</v>
      </c>
      <c r="J44" t="s">
        <v>173</v>
      </c>
      <c r="K44" t="s">
        <v>174</v>
      </c>
      <c r="L44" t="s">
        <v>563</v>
      </c>
      <c r="M44" t="e" cm="1">
        <f t="array" ref="M44">Convert_Decimal(L44)</f>
        <v>#VALUE!</v>
      </c>
      <c r="N44" t="s">
        <v>181</v>
      </c>
      <c r="P44">
        <v>1116</v>
      </c>
      <c r="Q44" s="1">
        <v>43639.916666666664</v>
      </c>
      <c r="R44" s="1">
        <v>43639.916666666664</v>
      </c>
      <c r="S44" t="s">
        <v>36</v>
      </c>
      <c r="T44" t="s">
        <v>41</v>
      </c>
      <c r="U44" t="s">
        <v>38</v>
      </c>
      <c r="V44" t="s">
        <v>39</v>
      </c>
      <c r="W44">
        <v>0</v>
      </c>
      <c r="X44">
        <v>1</v>
      </c>
      <c r="Y44" t="b">
        <v>0</v>
      </c>
      <c r="Z44" t="s">
        <v>123</v>
      </c>
      <c r="AA44" t="s">
        <v>41</v>
      </c>
      <c r="AB44" s="1">
        <v>44030.916666666664</v>
      </c>
      <c r="AC44" t="s">
        <v>42</v>
      </c>
      <c r="AD44" t="s">
        <v>43</v>
      </c>
    </row>
    <row r="45" spans="1:30" x14ac:dyDescent="0.3">
      <c r="A45">
        <v>99271</v>
      </c>
      <c r="B45" t="s">
        <v>182</v>
      </c>
      <c r="C45" t="s">
        <v>109</v>
      </c>
      <c r="D45" t="s">
        <v>110</v>
      </c>
      <c r="E45" t="s">
        <v>111</v>
      </c>
      <c r="I45" t="s">
        <v>172</v>
      </c>
      <c r="J45" t="s">
        <v>173</v>
      </c>
      <c r="K45" t="s">
        <v>174</v>
      </c>
      <c r="L45" t="s">
        <v>564</v>
      </c>
      <c r="M45" t="e" cm="1">
        <f t="array" ref="M45">Convert_Decimal(L45)</f>
        <v>#VALUE!</v>
      </c>
      <c r="N45" t="s">
        <v>183</v>
      </c>
      <c r="P45">
        <v>1120</v>
      </c>
      <c r="Q45" s="1">
        <v>43639.916666666664</v>
      </c>
      <c r="R45" s="1">
        <v>43639.916666666664</v>
      </c>
      <c r="S45" t="s">
        <v>184</v>
      </c>
      <c r="T45" t="s">
        <v>41</v>
      </c>
      <c r="U45" t="s">
        <v>38</v>
      </c>
      <c r="V45" t="s">
        <v>39</v>
      </c>
      <c r="W45">
        <v>0</v>
      </c>
      <c r="X45">
        <v>1</v>
      </c>
      <c r="Y45" t="b">
        <v>0</v>
      </c>
      <c r="Z45" t="s">
        <v>185</v>
      </c>
      <c r="AA45" t="s">
        <v>41</v>
      </c>
      <c r="AB45" s="1">
        <v>44039.916666666664</v>
      </c>
      <c r="AC45" t="s">
        <v>42</v>
      </c>
      <c r="AD45" t="s">
        <v>43</v>
      </c>
    </row>
    <row r="46" spans="1:30" x14ac:dyDescent="0.3">
      <c r="A46">
        <v>99648</v>
      </c>
      <c r="B46" t="s">
        <v>186</v>
      </c>
      <c r="C46" t="s">
        <v>109</v>
      </c>
      <c r="D46" t="s">
        <v>110</v>
      </c>
      <c r="E46" t="s">
        <v>111</v>
      </c>
      <c r="I46" t="s">
        <v>172</v>
      </c>
      <c r="J46" t="s">
        <v>173</v>
      </c>
      <c r="K46" t="s">
        <v>174</v>
      </c>
      <c r="L46" t="s">
        <v>565</v>
      </c>
      <c r="M46" t="e" cm="1">
        <f t="array" ref="M46">Convert_Decimal(L46)</f>
        <v>#VALUE!</v>
      </c>
      <c r="N46" t="s">
        <v>187</v>
      </c>
      <c r="P46">
        <v>1115</v>
      </c>
      <c r="Q46" s="1">
        <v>43639.916666666664</v>
      </c>
      <c r="R46" s="1">
        <v>43639.916666666664</v>
      </c>
      <c r="S46" t="s">
        <v>49</v>
      </c>
      <c r="T46" t="s">
        <v>41</v>
      </c>
      <c r="U46" t="s">
        <v>38</v>
      </c>
      <c r="V46" t="s">
        <v>39</v>
      </c>
      <c r="W46">
        <v>0</v>
      </c>
      <c r="X46">
        <v>1</v>
      </c>
      <c r="Y46" t="b">
        <v>0</v>
      </c>
      <c r="Z46" t="s">
        <v>123</v>
      </c>
      <c r="AA46" t="s">
        <v>41</v>
      </c>
      <c r="AB46" s="1">
        <v>44030.916666666664</v>
      </c>
      <c r="AC46" t="s">
        <v>42</v>
      </c>
      <c r="AD46" t="s">
        <v>43</v>
      </c>
    </row>
    <row r="47" spans="1:30" x14ac:dyDescent="0.3">
      <c r="A47">
        <v>99025</v>
      </c>
      <c r="B47" t="s">
        <v>186</v>
      </c>
      <c r="C47" t="s">
        <v>109</v>
      </c>
      <c r="D47" t="s">
        <v>110</v>
      </c>
      <c r="E47" t="s">
        <v>111</v>
      </c>
      <c r="I47" t="s">
        <v>172</v>
      </c>
      <c r="J47" t="s">
        <v>173</v>
      </c>
      <c r="K47" t="s">
        <v>174</v>
      </c>
      <c r="L47" t="s">
        <v>565</v>
      </c>
      <c r="M47" t="e" cm="1">
        <f t="array" ref="M47">Convert_Decimal(L47)</f>
        <v>#VALUE!</v>
      </c>
      <c r="N47" t="s">
        <v>187</v>
      </c>
      <c r="P47">
        <v>1115</v>
      </c>
      <c r="Q47" s="1">
        <v>43639.916666666664</v>
      </c>
      <c r="R47" s="1">
        <v>43639.916666666664</v>
      </c>
      <c r="S47" t="s">
        <v>49</v>
      </c>
      <c r="T47" t="s">
        <v>41</v>
      </c>
      <c r="U47" t="s">
        <v>38</v>
      </c>
      <c r="V47" t="s">
        <v>39</v>
      </c>
      <c r="W47">
        <v>2</v>
      </c>
      <c r="X47">
        <v>0</v>
      </c>
      <c r="Y47" t="b">
        <v>0</v>
      </c>
      <c r="Z47" t="s">
        <v>123</v>
      </c>
      <c r="AA47" t="s">
        <v>41</v>
      </c>
      <c r="AB47" s="1">
        <v>44030.916666666664</v>
      </c>
      <c r="AC47" t="s">
        <v>42</v>
      </c>
      <c r="AD47" t="s">
        <v>43</v>
      </c>
    </row>
    <row r="48" spans="1:30" x14ac:dyDescent="0.3">
      <c r="A48">
        <v>99253</v>
      </c>
      <c r="B48" t="s">
        <v>188</v>
      </c>
      <c r="C48" t="s">
        <v>109</v>
      </c>
      <c r="D48" t="s">
        <v>110</v>
      </c>
      <c r="E48" t="s">
        <v>111</v>
      </c>
      <c r="I48" t="s">
        <v>172</v>
      </c>
      <c r="J48" t="s">
        <v>173</v>
      </c>
      <c r="K48" t="s">
        <v>189</v>
      </c>
      <c r="L48" t="s">
        <v>566</v>
      </c>
      <c r="M48" t="e" cm="1">
        <f t="array" ref="M48">Convert_Decimal(L48)</f>
        <v>#VALUE!</v>
      </c>
      <c r="N48" t="s">
        <v>190</v>
      </c>
      <c r="P48">
        <v>1209</v>
      </c>
      <c r="Q48" s="1">
        <v>43639.916666666664</v>
      </c>
      <c r="R48" s="1">
        <v>43643.916666666664</v>
      </c>
      <c r="S48" t="s">
        <v>136</v>
      </c>
      <c r="T48" t="s">
        <v>41</v>
      </c>
      <c r="U48" t="s">
        <v>38</v>
      </c>
      <c r="V48" t="s">
        <v>39</v>
      </c>
      <c r="W48">
        <v>0</v>
      </c>
      <c r="X48">
        <v>1</v>
      </c>
      <c r="Y48" t="b">
        <v>0</v>
      </c>
      <c r="Z48" t="s">
        <v>185</v>
      </c>
      <c r="AA48" t="s">
        <v>41</v>
      </c>
      <c r="AB48" s="1">
        <v>44039.916666666664</v>
      </c>
      <c r="AC48" t="s">
        <v>42</v>
      </c>
      <c r="AD48" t="s">
        <v>43</v>
      </c>
    </row>
    <row r="49" spans="1:30" x14ac:dyDescent="0.3">
      <c r="A49">
        <v>99254</v>
      </c>
      <c r="B49" t="s">
        <v>191</v>
      </c>
      <c r="C49" t="s">
        <v>109</v>
      </c>
      <c r="D49" t="s">
        <v>110</v>
      </c>
      <c r="E49" t="s">
        <v>111</v>
      </c>
      <c r="I49" t="s">
        <v>172</v>
      </c>
      <c r="J49" t="s">
        <v>173</v>
      </c>
      <c r="K49" t="s">
        <v>189</v>
      </c>
      <c r="L49" t="s">
        <v>566</v>
      </c>
      <c r="M49" t="e" cm="1">
        <f t="array" ref="M49">Convert_Decimal(L49)</f>
        <v>#VALUE!</v>
      </c>
      <c r="N49" t="s">
        <v>190</v>
      </c>
      <c r="P49">
        <v>1209</v>
      </c>
      <c r="Q49" s="1">
        <v>43639.916666666664</v>
      </c>
      <c r="R49" s="1">
        <v>43643.916666666664</v>
      </c>
      <c r="S49" t="s">
        <v>128</v>
      </c>
      <c r="T49" t="s">
        <v>41</v>
      </c>
      <c r="U49" t="s">
        <v>38</v>
      </c>
      <c r="V49" t="s">
        <v>39</v>
      </c>
      <c r="W49">
        <v>0</v>
      </c>
      <c r="X49">
        <v>1</v>
      </c>
      <c r="Y49" t="b">
        <v>0</v>
      </c>
      <c r="Z49" t="s">
        <v>185</v>
      </c>
      <c r="AA49" t="s">
        <v>41</v>
      </c>
      <c r="AB49" s="1">
        <v>44039.916666666664</v>
      </c>
      <c r="AC49" t="s">
        <v>42</v>
      </c>
      <c r="AD49" t="s">
        <v>43</v>
      </c>
    </row>
    <row r="50" spans="1:30" x14ac:dyDescent="0.3">
      <c r="A50">
        <v>99269</v>
      </c>
      <c r="B50" t="s">
        <v>192</v>
      </c>
      <c r="C50" t="s">
        <v>109</v>
      </c>
      <c r="D50" t="s">
        <v>110</v>
      </c>
      <c r="E50" t="s">
        <v>111</v>
      </c>
      <c r="I50" t="s">
        <v>172</v>
      </c>
      <c r="J50" t="s">
        <v>173</v>
      </c>
      <c r="K50" t="s">
        <v>189</v>
      </c>
      <c r="L50" t="s">
        <v>566</v>
      </c>
      <c r="M50" t="e" cm="1">
        <f t="array" ref="M50">Convert_Decimal(L50)</f>
        <v>#VALUE!</v>
      </c>
      <c r="N50" t="s">
        <v>190</v>
      </c>
      <c r="P50">
        <v>1209</v>
      </c>
      <c r="Q50" s="1">
        <v>43639.916666666664</v>
      </c>
      <c r="R50" s="1">
        <v>43643.916666666664</v>
      </c>
      <c r="S50" t="s">
        <v>131</v>
      </c>
      <c r="T50" t="s">
        <v>41</v>
      </c>
      <c r="U50" t="s">
        <v>38</v>
      </c>
      <c r="V50" t="s">
        <v>39</v>
      </c>
      <c r="W50">
        <v>4</v>
      </c>
      <c r="X50">
        <v>1</v>
      </c>
      <c r="Y50" t="b">
        <v>0</v>
      </c>
      <c r="Z50" t="s">
        <v>185</v>
      </c>
      <c r="AA50" t="s">
        <v>41</v>
      </c>
      <c r="AB50" s="1">
        <v>44039.916666666664</v>
      </c>
      <c r="AC50" t="s">
        <v>42</v>
      </c>
      <c r="AD50" t="s">
        <v>43</v>
      </c>
    </row>
    <row r="51" spans="1:30" x14ac:dyDescent="0.3">
      <c r="A51">
        <v>99255</v>
      </c>
      <c r="B51" t="s">
        <v>192</v>
      </c>
      <c r="C51" t="s">
        <v>109</v>
      </c>
      <c r="D51" t="s">
        <v>110</v>
      </c>
      <c r="E51" t="s">
        <v>111</v>
      </c>
      <c r="I51" t="s">
        <v>172</v>
      </c>
      <c r="J51" t="s">
        <v>173</v>
      </c>
      <c r="K51" t="s">
        <v>189</v>
      </c>
      <c r="L51" t="s">
        <v>566</v>
      </c>
      <c r="M51" t="e" cm="1">
        <f t="array" ref="M51">Convert_Decimal(L51)</f>
        <v>#VALUE!</v>
      </c>
      <c r="N51" t="s">
        <v>190</v>
      </c>
      <c r="P51">
        <v>1209</v>
      </c>
      <c r="Q51" s="1">
        <v>43639.916666666664</v>
      </c>
      <c r="R51" s="1">
        <v>43643.916666666664</v>
      </c>
      <c r="S51" t="s">
        <v>131</v>
      </c>
      <c r="T51" t="s">
        <v>41</v>
      </c>
      <c r="U51" t="s">
        <v>38</v>
      </c>
      <c r="V51" t="s">
        <v>39</v>
      </c>
      <c r="W51">
        <v>2</v>
      </c>
      <c r="X51">
        <v>2</v>
      </c>
      <c r="Y51" t="b">
        <v>0</v>
      </c>
      <c r="Z51" t="s">
        <v>185</v>
      </c>
      <c r="AA51" t="s">
        <v>41</v>
      </c>
      <c r="AB51" s="1">
        <v>44039.916666666664</v>
      </c>
      <c r="AC51" t="s">
        <v>42</v>
      </c>
      <c r="AD51" t="s">
        <v>43</v>
      </c>
    </row>
    <row r="52" spans="1:30" x14ac:dyDescent="0.3">
      <c r="A52">
        <v>99026</v>
      </c>
      <c r="B52" t="s">
        <v>193</v>
      </c>
      <c r="C52" t="s">
        <v>109</v>
      </c>
      <c r="D52" t="s">
        <v>110</v>
      </c>
      <c r="E52" t="s">
        <v>111</v>
      </c>
      <c r="I52" t="s">
        <v>172</v>
      </c>
      <c r="J52" t="s">
        <v>173</v>
      </c>
      <c r="K52" t="s">
        <v>194</v>
      </c>
      <c r="L52" t="s">
        <v>567</v>
      </c>
      <c r="M52" t="e" cm="1">
        <f t="array" ref="M52">Convert_Decimal(L52)</f>
        <v>#VALUE!</v>
      </c>
      <c r="N52" t="s">
        <v>195</v>
      </c>
      <c r="P52">
        <v>1208</v>
      </c>
      <c r="Q52" s="1">
        <v>43643.916666666664</v>
      </c>
      <c r="R52" s="1">
        <v>43643.916666666664</v>
      </c>
      <c r="S52" t="s">
        <v>49</v>
      </c>
      <c r="T52" t="s">
        <v>196</v>
      </c>
      <c r="U52" t="s">
        <v>38</v>
      </c>
      <c r="V52" t="s">
        <v>39</v>
      </c>
      <c r="W52">
        <v>1</v>
      </c>
      <c r="X52">
        <v>0</v>
      </c>
      <c r="Y52" t="b">
        <v>0</v>
      </c>
      <c r="Z52" t="s">
        <v>123</v>
      </c>
      <c r="AA52" t="s">
        <v>41</v>
      </c>
      <c r="AB52" s="1">
        <v>44032.916666666664</v>
      </c>
      <c r="AC52" t="s">
        <v>42</v>
      </c>
      <c r="AD52" t="s">
        <v>43</v>
      </c>
    </row>
    <row r="53" spans="1:30" x14ac:dyDescent="0.3">
      <c r="A53">
        <v>99270</v>
      </c>
      <c r="B53" t="s">
        <v>197</v>
      </c>
      <c r="C53" t="s">
        <v>109</v>
      </c>
      <c r="D53" t="s">
        <v>110</v>
      </c>
      <c r="E53" t="s">
        <v>111</v>
      </c>
      <c r="I53" t="s">
        <v>172</v>
      </c>
      <c r="J53" t="s">
        <v>173</v>
      </c>
      <c r="K53" t="s">
        <v>194</v>
      </c>
      <c r="L53" t="s">
        <v>567</v>
      </c>
      <c r="M53" t="e" cm="1">
        <f t="array" ref="M53">Convert_Decimal(L53)</f>
        <v>#VALUE!</v>
      </c>
      <c r="N53" t="s">
        <v>195</v>
      </c>
      <c r="P53">
        <v>1208</v>
      </c>
      <c r="Q53" s="1">
        <v>43639.916666666664</v>
      </c>
      <c r="R53" s="1">
        <v>43643.916666666664</v>
      </c>
      <c r="S53" t="s">
        <v>128</v>
      </c>
      <c r="T53" t="s">
        <v>41</v>
      </c>
      <c r="U53" t="s">
        <v>38</v>
      </c>
      <c r="V53" t="s">
        <v>39</v>
      </c>
      <c r="W53">
        <v>3</v>
      </c>
      <c r="X53">
        <v>0</v>
      </c>
      <c r="Y53" t="b">
        <v>0</v>
      </c>
      <c r="Z53" t="s">
        <v>185</v>
      </c>
      <c r="AA53" t="s">
        <v>41</v>
      </c>
      <c r="AB53" s="1">
        <v>44039.916666666664</v>
      </c>
      <c r="AC53" t="s">
        <v>42</v>
      </c>
      <c r="AD53" t="s">
        <v>43</v>
      </c>
    </row>
    <row r="54" spans="1:30" x14ac:dyDescent="0.3">
      <c r="A54">
        <v>99256</v>
      </c>
      <c r="B54" t="s">
        <v>197</v>
      </c>
      <c r="C54" t="s">
        <v>109</v>
      </c>
      <c r="D54" t="s">
        <v>110</v>
      </c>
      <c r="E54" t="s">
        <v>111</v>
      </c>
      <c r="I54" t="s">
        <v>172</v>
      </c>
      <c r="J54" t="s">
        <v>173</v>
      </c>
      <c r="K54" t="s">
        <v>194</v>
      </c>
      <c r="L54" t="s">
        <v>567</v>
      </c>
      <c r="M54" t="e" cm="1">
        <f t="array" ref="M54">Convert_Decimal(L54)</f>
        <v>#VALUE!</v>
      </c>
      <c r="N54" t="s">
        <v>195</v>
      </c>
      <c r="P54">
        <v>1208</v>
      </c>
      <c r="Q54" s="1">
        <v>43639.916666666664</v>
      </c>
      <c r="R54" s="1">
        <v>43643.916666666664</v>
      </c>
      <c r="S54" t="s">
        <v>128</v>
      </c>
      <c r="T54" t="s">
        <v>41</v>
      </c>
      <c r="U54" t="s">
        <v>38</v>
      </c>
      <c r="V54" t="s">
        <v>39</v>
      </c>
      <c r="W54">
        <v>1</v>
      </c>
      <c r="X54">
        <v>1</v>
      </c>
      <c r="Y54" t="b">
        <v>0</v>
      </c>
      <c r="Z54" t="s">
        <v>185</v>
      </c>
      <c r="AA54" t="s">
        <v>41</v>
      </c>
      <c r="AB54" s="1">
        <v>44039.916666666664</v>
      </c>
      <c r="AC54" t="s">
        <v>42</v>
      </c>
      <c r="AD54" t="s">
        <v>43</v>
      </c>
    </row>
    <row r="55" spans="1:30" x14ac:dyDescent="0.3">
      <c r="A55">
        <v>99268</v>
      </c>
      <c r="B55" t="s">
        <v>198</v>
      </c>
      <c r="C55" t="s">
        <v>109</v>
      </c>
      <c r="D55" t="s">
        <v>110</v>
      </c>
      <c r="E55" t="s">
        <v>111</v>
      </c>
      <c r="I55" t="s">
        <v>172</v>
      </c>
      <c r="J55" t="s">
        <v>173</v>
      </c>
      <c r="K55" t="s">
        <v>194</v>
      </c>
      <c r="L55" t="s">
        <v>567</v>
      </c>
      <c r="M55" t="e" cm="1">
        <f t="array" ref="M55">Convert_Decimal(L55)</f>
        <v>#VALUE!</v>
      </c>
      <c r="N55" t="s">
        <v>195</v>
      </c>
      <c r="P55">
        <v>1208</v>
      </c>
      <c r="Q55" s="1">
        <v>43639.916666666664</v>
      </c>
      <c r="R55" s="1">
        <v>43643.916666666664</v>
      </c>
      <c r="S55" t="s">
        <v>131</v>
      </c>
      <c r="T55" t="s">
        <v>41</v>
      </c>
      <c r="U55" t="s">
        <v>38</v>
      </c>
      <c r="V55" t="s">
        <v>39</v>
      </c>
      <c r="W55">
        <v>3</v>
      </c>
      <c r="X55">
        <v>2</v>
      </c>
      <c r="Y55" t="b">
        <v>0</v>
      </c>
      <c r="Z55" t="s">
        <v>185</v>
      </c>
      <c r="AA55" t="s">
        <v>41</v>
      </c>
      <c r="AB55" s="1">
        <v>44039.916666666664</v>
      </c>
      <c r="AC55" t="s">
        <v>42</v>
      </c>
      <c r="AD55" t="s">
        <v>43</v>
      </c>
    </row>
    <row r="56" spans="1:30" x14ac:dyDescent="0.3">
      <c r="A56">
        <v>99267</v>
      </c>
      <c r="B56" t="s">
        <v>198</v>
      </c>
      <c r="C56" t="s">
        <v>109</v>
      </c>
      <c r="D56" t="s">
        <v>110</v>
      </c>
      <c r="E56" t="s">
        <v>111</v>
      </c>
      <c r="I56" t="s">
        <v>172</v>
      </c>
      <c r="J56" t="s">
        <v>173</v>
      </c>
      <c r="K56" t="s">
        <v>194</v>
      </c>
      <c r="L56" t="s">
        <v>567</v>
      </c>
      <c r="M56" t="e" cm="1">
        <f t="array" ref="M56">Convert_Decimal(L56)</f>
        <v>#VALUE!</v>
      </c>
      <c r="N56" t="s">
        <v>195</v>
      </c>
      <c r="P56">
        <v>1208</v>
      </c>
      <c r="Q56" s="1">
        <v>43639.916666666664</v>
      </c>
      <c r="R56" s="1">
        <v>43643.916666666664</v>
      </c>
      <c r="S56" t="s">
        <v>131</v>
      </c>
      <c r="T56" t="s">
        <v>41</v>
      </c>
      <c r="U56" t="s">
        <v>38</v>
      </c>
      <c r="V56" t="s">
        <v>39</v>
      </c>
      <c r="W56">
        <v>1</v>
      </c>
      <c r="X56">
        <v>1</v>
      </c>
      <c r="Y56" t="b">
        <v>0</v>
      </c>
      <c r="Z56" t="s">
        <v>185</v>
      </c>
      <c r="AA56" t="s">
        <v>41</v>
      </c>
      <c r="AB56" s="1">
        <v>44039.916666666664</v>
      </c>
      <c r="AC56" t="s">
        <v>42</v>
      </c>
      <c r="AD56" t="s">
        <v>43</v>
      </c>
    </row>
    <row r="57" spans="1:30" x14ac:dyDescent="0.3">
      <c r="A57">
        <v>99265</v>
      </c>
      <c r="B57" t="s">
        <v>198</v>
      </c>
      <c r="C57" t="s">
        <v>109</v>
      </c>
      <c r="D57" t="s">
        <v>110</v>
      </c>
      <c r="E57" t="s">
        <v>111</v>
      </c>
      <c r="I57" t="s">
        <v>172</v>
      </c>
      <c r="J57" t="s">
        <v>173</v>
      </c>
      <c r="K57" t="s">
        <v>194</v>
      </c>
      <c r="L57" t="s">
        <v>567</v>
      </c>
      <c r="M57" t="e" cm="1">
        <f t="array" ref="M57">Convert_Decimal(L57)</f>
        <v>#VALUE!</v>
      </c>
      <c r="N57" t="s">
        <v>195</v>
      </c>
      <c r="P57">
        <v>1208</v>
      </c>
      <c r="Q57" s="1">
        <v>43639.916666666664</v>
      </c>
      <c r="R57" s="1">
        <v>43643.916666666664</v>
      </c>
      <c r="S57" t="s">
        <v>131</v>
      </c>
      <c r="T57" t="s">
        <v>41</v>
      </c>
      <c r="U57" t="s">
        <v>38</v>
      </c>
      <c r="V57" t="s">
        <v>39</v>
      </c>
      <c r="W57">
        <v>1</v>
      </c>
      <c r="X57">
        <v>4</v>
      </c>
      <c r="Y57" t="b">
        <v>0</v>
      </c>
      <c r="Z57" t="s">
        <v>185</v>
      </c>
      <c r="AA57" t="s">
        <v>41</v>
      </c>
      <c r="AB57" s="1">
        <v>44039.916666666664</v>
      </c>
      <c r="AC57" t="s">
        <v>42</v>
      </c>
      <c r="AD57" t="s">
        <v>43</v>
      </c>
    </row>
    <row r="58" spans="1:30" x14ac:dyDescent="0.3">
      <c r="A58">
        <v>99257</v>
      </c>
      <c r="B58" t="s">
        <v>198</v>
      </c>
      <c r="C58" t="s">
        <v>109</v>
      </c>
      <c r="D58" t="s">
        <v>110</v>
      </c>
      <c r="E58" t="s">
        <v>111</v>
      </c>
      <c r="I58" t="s">
        <v>172</v>
      </c>
      <c r="J58" t="s">
        <v>173</v>
      </c>
      <c r="K58" t="s">
        <v>194</v>
      </c>
      <c r="L58" t="s">
        <v>567</v>
      </c>
      <c r="M58" t="e" cm="1">
        <f t="array" ref="M58">Convert_Decimal(L58)</f>
        <v>#VALUE!</v>
      </c>
      <c r="N58" t="s">
        <v>195</v>
      </c>
      <c r="P58">
        <v>1208</v>
      </c>
      <c r="Q58" s="1">
        <v>43639.916666666664</v>
      </c>
      <c r="R58" s="1">
        <v>43643.916666666664</v>
      </c>
      <c r="S58" t="s">
        <v>131</v>
      </c>
      <c r="T58" t="s">
        <v>41</v>
      </c>
      <c r="U58" t="s">
        <v>38</v>
      </c>
      <c r="V58" t="s">
        <v>39</v>
      </c>
      <c r="W58">
        <v>0</v>
      </c>
      <c r="X58">
        <v>3</v>
      </c>
      <c r="Y58" t="b">
        <v>0</v>
      </c>
      <c r="Z58" t="s">
        <v>185</v>
      </c>
      <c r="AA58" t="s">
        <v>41</v>
      </c>
      <c r="AB58" s="1">
        <v>44039.916666666664</v>
      </c>
      <c r="AC58" t="s">
        <v>42</v>
      </c>
      <c r="AD58" t="s">
        <v>43</v>
      </c>
    </row>
    <row r="59" spans="1:30" x14ac:dyDescent="0.3">
      <c r="A59">
        <v>99266</v>
      </c>
      <c r="B59" t="s">
        <v>198</v>
      </c>
      <c r="C59" t="s">
        <v>109</v>
      </c>
      <c r="D59" t="s">
        <v>110</v>
      </c>
      <c r="E59" t="s">
        <v>111</v>
      </c>
      <c r="I59" t="s">
        <v>172</v>
      </c>
      <c r="J59" t="s">
        <v>173</v>
      </c>
      <c r="K59" t="s">
        <v>194</v>
      </c>
      <c r="L59" t="s">
        <v>567</v>
      </c>
      <c r="M59" t="e" cm="1">
        <f t="array" ref="M59">Convert_Decimal(L59)</f>
        <v>#VALUE!</v>
      </c>
      <c r="N59" t="s">
        <v>195</v>
      </c>
      <c r="P59">
        <v>1208</v>
      </c>
      <c r="Q59" s="1">
        <v>43639.916666666664</v>
      </c>
      <c r="R59" s="1">
        <v>43643.916666666664</v>
      </c>
      <c r="S59" t="s">
        <v>131</v>
      </c>
      <c r="T59" t="s">
        <v>41</v>
      </c>
      <c r="U59" t="s">
        <v>38</v>
      </c>
      <c r="V59" t="s">
        <v>39</v>
      </c>
      <c r="W59">
        <v>2</v>
      </c>
      <c r="X59">
        <v>3</v>
      </c>
      <c r="Y59" t="b">
        <v>0</v>
      </c>
      <c r="Z59" t="s">
        <v>185</v>
      </c>
      <c r="AA59" t="s">
        <v>41</v>
      </c>
      <c r="AB59" s="1">
        <v>44039.916666666664</v>
      </c>
      <c r="AC59" t="s">
        <v>42</v>
      </c>
      <c r="AD59" t="s">
        <v>43</v>
      </c>
    </row>
    <row r="60" spans="1:30" x14ac:dyDescent="0.3">
      <c r="A60">
        <v>99264</v>
      </c>
      <c r="B60" t="s">
        <v>198</v>
      </c>
      <c r="C60" t="s">
        <v>109</v>
      </c>
      <c r="D60" t="s">
        <v>110</v>
      </c>
      <c r="E60" t="s">
        <v>111</v>
      </c>
      <c r="I60" t="s">
        <v>172</v>
      </c>
      <c r="J60" t="s">
        <v>173</v>
      </c>
      <c r="K60" t="s">
        <v>194</v>
      </c>
      <c r="L60" t="s">
        <v>567</v>
      </c>
      <c r="M60" t="e" cm="1">
        <f t="array" ref="M60">Convert_Decimal(L60)</f>
        <v>#VALUE!</v>
      </c>
      <c r="N60" t="s">
        <v>195</v>
      </c>
      <c r="P60">
        <v>1208</v>
      </c>
      <c r="Q60" s="1">
        <v>43639.916666666664</v>
      </c>
      <c r="R60" s="1">
        <v>43643.916666666664</v>
      </c>
      <c r="S60" t="s">
        <v>131</v>
      </c>
      <c r="T60" t="s">
        <v>41</v>
      </c>
      <c r="U60" t="s">
        <v>38</v>
      </c>
      <c r="V60" t="s">
        <v>39</v>
      </c>
      <c r="W60">
        <v>3</v>
      </c>
      <c r="X60">
        <v>2</v>
      </c>
      <c r="Y60" t="b">
        <v>0</v>
      </c>
      <c r="Z60" t="s">
        <v>185</v>
      </c>
      <c r="AA60" t="s">
        <v>41</v>
      </c>
      <c r="AB60" s="1">
        <v>44039.916666666664</v>
      </c>
      <c r="AC60" t="s">
        <v>42</v>
      </c>
      <c r="AD60" t="s">
        <v>43</v>
      </c>
    </row>
    <row r="61" spans="1:30" x14ac:dyDescent="0.3">
      <c r="A61">
        <v>99260</v>
      </c>
      <c r="B61" t="s">
        <v>199</v>
      </c>
      <c r="C61" t="s">
        <v>109</v>
      </c>
      <c r="D61" t="s">
        <v>110</v>
      </c>
      <c r="E61" t="s">
        <v>111</v>
      </c>
      <c r="I61" t="s">
        <v>172</v>
      </c>
      <c r="J61" t="s">
        <v>173</v>
      </c>
      <c r="K61" t="s">
        <v>200</v>
      </c>
      <c r="L61" t="s">
        <v>568</v>
      </c>
      <c r="M61" cm="1">
        <f t="array" ref="M61">Convert_Decimal(L61)</f>
        <v>41.86</v>
      </c>
      <c r="N61" t="s">
        <v>201</v>
      </c>
      <c r="P61">
        <v>1244</v>
      </c>
      <c r="Q61" s="1">
        <v>43639.916666666664</v>
      </c>
      <c r="R61" s="1">
        <v>43643.916666666664</v>
      </c>
      <c r="S61" t="s">
        <v>128</v>
      </c>
      <c r="T61" t="s">
        <v>41</v>
      </c>
      <c r="U61" t="s">
        <v>38</v>
      </c>
      <c r="V61" t="s">
        <v>39</v>
      </c>
      <c r="W61">
        <v>4</v>
      </c>
      <c r="X61">
        <v>0</v>
      </c>
      <c r="Y61" t="b">
        <v>0</v>
      </c>
      <c r="Z61" t="s">
        <v>185</v>
      </c>
      <c r="AA61" t="s">
        <v>41</v>
      </c>
      <c r="AB61" s="1">
        <v>44039.916666666664</v>
      </c>
      <c r="AC61" t="s">
        <v>42</v>
      </c>
      <c r="AD61" t="s">
        <v>43</v>
      </c>
    </row>
    <row r="62" spans="1:30" x14ac:dyDescent="0.3">
      <c r="A62">
        <v>99258</v>
      </c>
      <c r="B62" t="s">
        <v>202</v>
      </c>
      <c r="C62" t="s">
        <v>109</v>
      </c>
      <c r="D62" t="s">
        <v>110</v>
      </c>
      <c r="E62" t="s">
        <v>111</v>
      </c>
      <c r="I62" t="s">
        <v>172</v>
      </c>
      <c r="J62" t="s">
        <v>173</v>
      </c>
      <c r="K62" t="s">
        <v>200</v>
      </c>
      <c r="L62" t="s">
        <v>568</v>
      </c>
      <c r="M62" cm="1">
        <f t="array" ref="M62">Convert_Decimal(L62)</f>
        <v>41.86</v>
      </c>
      <c r="N62" t="s">
        <v>201</v>
      </c>
      <c r="P62">
        <v>1244</v>
      </c>
      <c r="Q62" s="1">
        <v>43639.916666666664</v>
      </c>
      <c r="R62" s="1">
        <v>43643.916666666664</v>
      </c>
      <c r="S62" t="s">
        <v>128</v>
      </c>
      <c r="T62" t="s">
        <v>41</v>
      </c>
      <c r="U62" t="s">
        <v>38</v>
      </c>
      <c r="V62" t="s">
        <v>39</v>
      </c>
      <c r="W62">
        <v>0</v>
      </c>
      <c r="X62">
        <v>1</v>
      </c>
      <c r="Y62" t="b">
        <v>0</v>
      </c>
      <c r="Z62" t="s">
        <v>185</v>
      </c>
      <c r="AA62" t="s">
        <v>41</v>
      </c>
      <c r="AB62" s="1">
        <v>44039.916666666664</v>
      </c>
      <c r="AC62" t="s">
        <v>42</v>
      </c>
      <c r="AD62" t="s">
        <v>43</v>
      </c>
    </row>
    <row r="63" spans="1:30" x14ac:dyDescent="0.3">
      <c r="A63">
        <v>99259</v>
      </c>
      <c r="B63" t="s">
        <v>203</v>
      </c>
      <c r="C63" t="s">
        <v>109</v>
      </c>
      <c r="D63" t="s">
        <v>110</v>
      </c>
      <c r="E63" t="s">
        <v>111</v>
      </c>
      <c r="I63" t="s">
        <v>172</v>
      </c>
      <c r="J63" t="s">
        <v>173</v>
      </c>
      <c r="K63" t="s">
        <v>200</v>
      </c>
      <c r="L63" t="s">
        <v>568</v>
      </c>
      <c r="M63" cm="1">
        <f t="array" ref="M63">Convert_Decimal(L63)</f>
        <v>41.86</v>
      </c>
      <c r="N63" t="s">
        <v>201</v>
      </c>
      <c r="P63">
        <v>1244</v>
      </c>
      <c r="Q63" s="1">
        <v>43639.916666666664</v>
      </c>
      <c r="R63" s="1">
        <v>43643.916666666664</v>
      </c>
      <c r="S63" t="s">
        <v>131</v>
      </c>
      <c r="T63" t="s">
        <v>41</v>
      </c>
      <c r="U63" t="s">
        <v>38</v>
      </c>
      <c r="V63" t="s">
        <v>39</v>
      </c>
      <c r="W63">
        <v>4</v>
      </c>
      <c r="X63">
        <v>4</v>
      </c>
      <c r="Y63" t="b">
        <v>0</v>
      </c>
      <c r="Z63" t="s">
        <v>185</v>
      </c>
      <c r="AA63" t="s">
        <v>41</v>
      </c>
      <c r="AB63" s="1">
        <v>44039.916666666664</v>
      </c>
      <c r="AC63" t="s">
        <v>42</v>
      </c>
      <c r="AD63" t="s">
        <v>43</v>
      </c>
    </row>
    <row r="64" spans="1:30" x14ac:dyDescent="0.3">
      <c r="A64">
        <v>99262</v>
      </c>
      <c r="B64" t="s">
        <v>203</v>
      </c>
      <c r="C64" t="s">
        <v>109</v>
      </c>
      <c r="D64" t="s">
        <v>110</v>
      </c>
      <c r="E64" t="s">
        <v>111</v>
      </c>
      <c r="I64" t="s">
        <v>172</v>
      </c>
      <c r="J64" t="s">
        <v>173</v>
      </c>
      <c r="K64" t="s">
        <v>200</v>
      </c>
      <c r="L64" t="s">
        <v>568</v>
      </c>
      <c r="M64" cm="1">
        <f t="array" ref="M64">Convert_Decimal(L64)</f>
        <v>41.86</v>
      </c>
      <c r="N64" t="s">
        <v>201</v>
      </c>
      <c r="P64">
        <v>1244</v>
      </c>
      <c r="Q64" s="1">
        <v>43639.916666666664</v>
      </c>
      <c r="R64" s="1">
        <v>43643.916666666664</v>
      </c>
      <c r="S64" t="s">
        <v>131</v>
      </c>
      <c r="T64" t="s">
        <v>41</v>
      </c>
      <c r="U64" t="s">
        <v>38</v>
      </c>
      <c r="V64" t="s">
        <v>39</v>
      </c>
      <c r="W64">
        <v>3</v>
      </c>
      <c r="X64">
        <v>2</v>
      </c>
      <c r="Y64" t="b">
        <v>0</v>
      </c>
      <c r="Z64" t="s">
        <v>185</v>
      </c>
      <c r="AA64" t="s">
        <v>41</v>
      </c>
      <c r="AB64" s="1">
        <v>44039.916666666664</v>
      </c>
      <c r="AC64" t="s">
        <v>42</v>
      </c>
      <c r="AD64" t="s">
        <v>43</v>
      </c>
    </row>
    <row r="65" spans="1:31" x14ac:dyDescent="0.3">
      <c r="A65">
        <v>99263</v>
      </c>
      <c r="B65" t="s">
        <v>203</v>
      </c>
      <c r="C65" t="s">
        <v>109</v>
      </c>
      <c r="D65" t="s">
        <v>110</v>
      </c>
      <c r="E65" t="s">
        <v>111</v>
      </c>
      <c r="I65" t="s">
        <v>172</v>
      </c>
      <c r="J65" t="s">
        <v>173</v>
      </c>
      <c r="K65" t="s">
        <v>200</v>
      </c>
      <c r="L65" t="s">
        <v>568</v>
      </c>
      <c r="M65" cm="1">
        <f t="array" ref="M65">Convert_Decimal(L65)</f>
        <v>41.86</v>
      </c>
      <c r="N65" t="s">
        <v>201</v>
      </c>
      <c r="P65">
        <v>1244</v>
      </c>
      <c r="Q65" s="1">
        <v>43639.916666666664</v>
      </c>
      <c r="R65" s="1">
        <v>43643.916666666664</v>
      </c>
      <c r="S65" t="s">
        <v>131</v>
      </c>
      <c r="T65" t="s">
        <v>41</v>
      </c>
      <c r="U65" t="s">
        <v>38</v>
      </c>
      <c r="V65" t="s">
        <v>39</v>
      </c>
      <c r="W65">
        <v>3</v>
      </c>
      <c r="X65">
        <v>0</v>
      </c>
      <c r="Y65" t="b">
        <v>0</v>
      </c>
      <c r="Z65" t="s">
        <v>185</v>
      </c>
      <c r="AA65" t="s">
        <v>41</v>
      </c>
      <c r="AB65" s="1">
        <v>44039.916666666664</v>
      </c>
      <c r="AC65" t="s">
        <v>42</v>
      </c>
      <c r="AD65" t="s">
        <v>43</v>
      </c>
    </row>
    <row r="66" spans="1:31" x14ac:dyDescent="0.3">
      <c r="A66">
        <v>99666</v>
      </c>
      <c r="B66" t="s">
        <v>204</v>
      </c>
      <c r="C66" t="s">
        <v>109</v>
      </c>
      <c r="D66" t="s">
        <v>110</v>
      </c>
      <c r="E66" t="s">
        <v>111</v>
      </c>
      <c r="I66" t="s">
        <v>172</v>
      </c>
      <c r="J66" t="s">
        <v>173</v>
      </c>
      <c r="K66" t="s">
        <v>205</v>
      </c>
      <c r="L66" t="s">
        <v>569</v>
      </c>
      <c r="M66" cm="1">
        <f t="array" ref="M66">Convert_Decimal(L66)</f>
        <v>41.861388888888889</v>
      </c>
      <c r="N66" t="s">
        <v>206</v>
      </c>
      <c r="P66">
        <v>1188</v>
      </c>
      <c r="Q66" s="1">
        <v>43643.916666666664</v>
      </c>
      <c r="R66" s="1">
        <v>43643.916666666664</v>
      </c>
      <c r="S66" t="s">
        <v>49</v>
      </c>
      <c r="T66" t="s">
        <v>41</v>
      </c>
      <c r="U66" t="s">
        <v>38</v>
      </c>
      <c r="V66" t="s">
        <v>39</v>
      </c>
      <c r="W66">
        <v>0</v>
      </c>
      <c r="X66">
        <v>1</v>
      </c>
      <c r="Y66" t="b">
        <v>0</v>
      </c>
      <c r="Z66" t="s">
        <v>123</v>
      </c>
      <c r="AA66" t="s">
        <v>41</v>
      </c>
      <c r="AB66" s="1">
        <v>44032.916666666664</v>
      </c>
      <c r="AC66" t="s">
        <v>42</v>
      </c>
      <c r="AD66" t="s">
        <v>43</v>
      </c>
    </row>
    <row r="67" spans="1:31" x14ac:dyDescent="0.3">
      <c r="A67">
        <v>99261</v>
      </c>
      <c r="B67" t="s">
        <v>207</v>
      </c>
      <c r="C67" t="s">
        <v>109</v>
      </c>
      <c r="D67" t="s">
        <v>110</v>
      </c>
      <c r="E67" t="s">
        <v>111</v>
      </c>
      <c r="I67" t="s">
        <v>172</v>
      </c>
      <c r="J67" t="s">
        <v>173</v>
      </c>
      <c r="K67" t="s">
        <v>205</v>
      </c>
      <c r="L67" t="s">
        <v>569</v>
      </c>
      <c r="M67" cm="1">
        <f t="array" ref="M67">Convert_Decimal(L67)</f>
        <v>41.861388888888889</v>
      </c>
      <c r="N67" t="s">
        <v>208</v>
      </c>
      <c r="P67">
        <v>1231</v>
      </c>
      <c r="Q67" s="1">
        <v>43639.916666666664</v>
      </c>
      <c r="R67" s="1">
        <v>43643.916666666664</v>
      </c>
      <c r="S67" t="s">
        <v>131</v>
      </c>
      <c r="T67" t="s">
        <v>41</v>
      </c>
      <c r="U67" t="s">
        <v>38</v>
      </c>
      <c r="V67" t="s">
        <v>39</v>
      </c>
      <c r="W67">
        <v>2</v>
      </c>
      <c r="X67">
        <v>3</v>
      </c>
      <c r="Y67" t="b">
        <v>0</v>
      </c>
      <c r="Z67" t="s">
        <v>185</v>
      </c>
      <c r="AA67" t="s">
        <v>41</v>
      </c>
      <c r="AB67" s="1">
        <v>44039.916666666664</v>
      </c>
      <c r="AC67" t="s">
        <v>42</v>
      </c>
      <c r="AD67" t="s">
        <v>43</v>
      </c>
    </row>
    <row r="68" spans="1:31" x14ac:dyDescent="0.3">
      <c r="A68">
        <v>118397</v>
      </c>
      <c r="B68" t="s">
        <v>209</v>
      </c>
      <c r="C68" t="s">
        <v>210</v>
      </c>
      <c r="D68" t="s">
        <v>211</v>
      </c>
      <c r="E68" t="s">
        <v>212</v>
      </c>
      <c r="H68" t="s">
        <v>33</v>
      </c>
      <c r="I68" t="s">
        <v>213</v>
      </c>
      <c r="J68" t="s">
        <v>214</v>
      </c>
      <c r="K68" t="s">
        <v>215</v>
      </c>
      <c r="L68" t="s">
        <v>570</v>
      </c>
      <c r="M68" t="e" cm="1">
        <f t="array" ref="M68">Convert_Decimal(L68)</f>
        <v>#VALUE!</v>
      </c>
      <c r="N68" t="s">
        <v>216</v>
      </c>
      <c r="P68">
        <v>592</v>
      </c>
      <c r="Q68" s="1">
        <v>38824.916666666664</v>
      </c>
      <c r="R68" s="1">
        <v>38838.916666666664</v>
      </c>
      <c r="S68" t="s">
        <v>116</v>
      </c>
      <c r="T68" t="s">
        <v>217</v>
      </c>
      <c r="U68" t="s">
        <v>38</v>
      </c>
      <c r="V68" t="s">
        <v>39</v>
      </c>
      <c r="W68">
        <v>1</v>
      </c>
      <c r="X68">
        <v>0</v>
      </c>
      <c r="Y68" t="b">
        <v>0</v>
      </c>
      <c r="Z68" t="s">
        <v>218</v>
      </c>
      <c r="AA68" t="s">
        <v>41</v>
      </c>
      <c r="AB68" s="1">
        <v>41454.916666666664</v>
      </c>
      <c r="AC68" t="s">
        <v>42</v>
      </c>
      <c r="AD68" t="s">
        <v>43</v>
      </c>
    </row>
    <row r="69" spans="1:31" x14ac:dyDescent="0.3">
      <c r="A69">
        <v>118405</v>
      </c>
      <c r="B69" t="s">
        <v>219</v>
      </c>
      <c r="C69" t="s">
        <v>210</v>
      </c>
      <c r="D69" t="s">
        <v>211</v>
      </c>
      <c r="E69" t="s">
        <v>212</v>
      </c>
      <c r="H69" t="s">
        <v>33</v>
      </c>
      <c r="I69" t="s">
        <v>220</v>
      </c>
      <c r="J69" t="s">
        <v>221</v>
      </c>
      <c r="K69" t="s">
        <v>222</v>
      </c>
      <c r="L69" t="s">
        <v>571</v>
      </c>
      <c r="M69" t="e" cm="1">
        <f t="array" ref="M69">Convert_Decimal(L69)</f>
        <v>#VALUE!</v>
      </c>
      <c r="N69" t="s">
        <v>223</v>
      </c>
      <c r="P69">
        <v>480</v>
      </c>
      <c r="Q69" s="1">
        <v>38251.916666666664</v>
      </c>
      <c r="R69" s="1">
        <v>38254.916666666664</v>
      </c>
      <c r="S69" t="s">
        <v>116</v>
      </c>
      <c r="T69" t="s">
        <v>224</v>
      </c>
      <c r="U69" t="s">
        <v>38</v>
      </c>
      <c r="V69" t="s">
        <v>39</v>
      </c>
      <c r="W69">
        <v>3</v>
      </c>
      <c r="X69">
        <v>2</v>
      </c>
      <c r="Y69" t="b">
        <v>0</v>
      </c>
      <c r="Z69" t="s">
        <v>225</v>
      </c>
      <c r="AA69" t="s">
        <v>41</v>
      </c>
      <c r="AB69" s="1">
        <v>41454.916666666664</v>
      </c>
      <c r="AC69" t="s">
        <v>42</v>
      </c>
      <c r="AD69" t="s">
        <v>43</v>
      </c>
    </row>
    <row r="70" spans="1:31" x14ac:dyDescent="0.3">
      <c r="A70">
        <v>118375</v>
      </c>
      <c r="B70" t="s">
        <v>226</v>
      </c>
      <c r="C70" t="s">
        <v>210</v>
      </c>
      <c r="D70" t="s">
        <v>211</v>
      </c>
      <c r="E70" t="s">
        <v>212</v>
      </c>
      <c r="H70" t="s">
        <v>33</v>
      </c>
      <c r="I70" t="s">
        <v>220</v>
      </c>
      <c r="J70" t="s">
        <v>227</v>
      </c>
      <c r="K70" t="s">
        <v>228</v>
      </c>
      <c r="L70" t="s">
        <v>572</v>
      </c>
      <c r="M70" t="e" cm="1">
        <f t="array" ref="M70">Convert_Decimal(L70)</f>
        <v>#VALUE!</v>
      </c>
      <c r="N70" t="s">
        <v>229</v>
      </c>
      <c r="P70">
        <v>636</v>
      </c>
      <c r="Q70" s="1">
        <v>38824.916666666664</v>
      </c>
      <c r="R70" s="1">
        <v>38838.916666666664</v>
      </c>
      <c r="S70" t="s">
        <v>116</v>
      </c>
      <c r="T70" t="s">
        <v>217</v>
      </c>
      <c r="U70" t="s">
        <v>38</v>
      </c>
      <c r="V70" t="s">
        <v>39</v>
      </c>
      <c r="W70">
        <v>2</v>
      </c>
      <c r="X70">
        <v>0</v>
      </c>
      <c r="Y70" t="b">
        <v>0</v>
      </c>
      <c r="Z70" t="s">
        <v>230</v>
      </c>
      <c r="AA70" t="s">
        <v>41</v>
      </c>
      <c r="AB70" s="1">
        <v>41454.916666666664</v>
      </c>
      <c r="AC70" t="s">
        <v>42</v>
      </c>
      <c r="AD70" t="s">
        <v>43</v>
      </c>
    </row>
    <row r="71" spans="1:31" x14ac:dyDescent="0.3">
      <c r="A71">
        <v>118404</v>
      </c>
      <c r="B71" t="s">
        <v>231</v>
      </c>
      <c r="C71" t="s">
        <v>210</v>
      </c>
      <c r="D71" t="s">
        <v>211</v>
      </c>
      <c r="E71" t="s">
        <v>212</v>
      </c>
      <c r="H71" t="s">
        <v>33</v>
      </c>
      <c r="I71" t="s">
        <v>220</v>
      </c>
      <c r="J71" t="s">
        <v>227</v>
      </c>
      <c r="K71" t="s">
        <v>228</v>
      </c>
      <c r="L71" t="s">
        <v>572</v>
      </c>
      <c r="M71" t="e" cm="1">
        <f t="array" ref="M71">Convert_Decimal(L71)</f>
        <v>#VALUE!</v>
      </c>
      <c r="N71" t="s">
        <v>229</v>
      </c>
      <c r="P71">
        <v>636</v>
      </c>
      <c r="Q71" s="1">
        <v>38838.916666666664</v>
      </c>
      <c r="R71" s="1">
        <v>38852.916666666664</v>
      </c>
      <c r="S71" t="s">
        <v>116</v>
      </c>
      <c r="T71" t="s">
        <v>217</v>
      </c>
      <c r="U71" t="s">
        <v>38</v>
      </c>
      <c r="V71" t="s">
        <v>39</v>
      </c>
      <c r="W71">
        <v>1</v>
      </c>
      <c r="X71">
        <v>0</v>
      </c>
      <c r="Y71" t="b">
        <v>0</v>
      </c>
      <c r="Z71" t="s">
        <v>232</v>
      </c>
      <c r="AA71" t="s">
        <v>41</v>
      </c>
      <c r="AB71" s="1">
        <v>41454.916666666664</v>
      </c>
      <c r="AC71" t="s">
        <v>42</v>
      </c>
      <c r="AD71" t="s">
        <v>43</v>
      </c>
      <c r="AE71" t="s">
        <v>233</v>
      </c>
    </row>
    <row r="72" spans="1:31" x14ac:dyDescent="0.3">
      <c r="A72">
        <v>119101</v>
      </c>
      <c r="B72" t="s">
        <v>234</v>
      </c>
      <c r="C72" t="s">
        <v>210</v>
      </c>
      <c r="D72" t="s">
        <v>211</v>
      </c>
      <c r="E72" t="s">
        <v>212</v>
      </c>
      <c r="H72" t="s">
        <v>33</v>
      </c>
      <c r="I72" t="s">
        <v>220</v>
      </c>
      <c r="J72" t="s">
        <v>227</v>
      </c>
      <c r="K72" t="s">
        <v>235</v>
      </c>
      <c r="L72" t="s">
        <v>572</v>
      </c>
      <c r="M72" t="e" cm="1">
        <f t="array" ref="M72">Convert_Decimal(L72)</f>
        <v>#VALUE!</v>
      </c>
      <c r="N72" t="s">
        <v>229</v>
      </c>
      <c r="P72">
        <v>636</v>
      </c>
      <c r="Q72" s="1">
        <v>38866.916666666664</v>
      </c>
      <c r="R72" s="1">
        <v>38880.916666666664</v>
      </c>
      <c r="S72" t="s">
        <v>116</v>
      </c>
      <c r="T72" t="s">
        <v>217</v>
      </c>
      <c r="U72" t="s">
        <v>38</v>
      </c>
      <c r="V72" t="s">
        <v>39</v>
      </c>
      <c r="W72">
        <v>1</v>
      </c>
      <c r="X72">
        <v>1</v>
      </c>
      <c r="Y72" t="b">
        <v>0</v>
      </c>
      <c r="Z72" t="s">
        <v>236</v>
      </c>
      <c r="AA72" t="s">
        <v>41</v>
      </c>
      <c r="AB72" s="1">
        <v>41454.916666666664</v>
      </c>
      <c r="AC72" t="s">
        <v>42</v>
      </c>
      <c r="AD72" t="s">
        <v>43</v>
      </c>
    </row>
    <row r="73" spans="1:31" x14ac:dyDescent="0.3">
      <c r="A73">
        <v>98187</v>
      </c>
      <c r="B73" t="s">
        <v>237</v>
      </c>
      <c r="C73" t="s">
        <v>184</v>
      </c>
      <c r="E73" t="s">
        <v>238</v>
      </c>
      <c r="F73" t="s">
        <v>239</v>
      </c>
      <c r="G73" t="s">
        <v>240</v>
      </c>
      <c r="H73" t="s">
        <v>241</v>
      </c>
      <c r="I73" t="s">
        <v>242</v>
      </c>
      <c r="J73" t="s">
        <v>33</v>
      </c>
      <c r="K73" t="s">
        <v>33</v>
      </c>
      <c r="L73" t="s">
        <v>573</v>
      </c>
      <c r="M73" cm="1">
        <f t="array" ref="M73">Convert_Decimal(L73)</f>
        <v>39.520000000000003</v>
      </c>
      <c r="N73" t="s">
        <v>243</v>
      </c>
      <c r="P73">
        <v>610</v>
      </c>
      <c r="R73" s="1">
        <v>42076.958333333336</v>
      </c>
      <c r="S73" t="s">
        <v>36</v>
      </c>
      <c r="T73" t="s">
        <v>37</v>
      </c>
      <c r="U73" t="s">
        <v>38</v>
      </c>
      <c r="V73" t="s">
        <v>39</v>
      </c>
      <c r="W73">
        <v>5</v>
      </c>
      <c r="X73">
        <v>1</v>
      </c>
      <c r="Y73" t="b">
        <v>0</v>
      </c>
      <c r="Z73" t="s">
        <v>244</v>
      </c>
      <c r="AA73" t="s">
        <v>41</v>
      </c>
      <c r="AB73" s="1">
        <v>43255.916666666664</v>
      </c>
      <c r="AC73" t="s">
        <v>42</v>
      </c>
      <c r="AD73" t="s">
        <v>43</v>
      </c>
    </row>
    <row r="74" spans="1:31" x14ac:dyDescent="0.3">
      <c r="A74">
        <v>97164</v>
      </c>
      <c r="B74" t="s">
        <v>245</v>
      </c>
      <c r="C74" t="s">
        <v>184</v>
      </c>
      <c r="E74" t="s">
        <v>246</v>
      </c>
      <c r="F74" t="s">
        <v>247</v>
      </c>
      <c r="G74" t="s">
        <v>248</v>
      </c>
      <c r="H74" t="s">
        <v>249</v>
      </c>
      <c r="I74" t="s">
        <v>250</v>
      </c>
      <c r="J74" t="s">
        <v>33</v>
      </c>
      <c r="K74" t="s">
        <v>33</v>
      </c>
      <c r="L74" t="s">
        <v>574</v>
      </c>
      <c r="M74" cm="1">
        <f t="array" ref="M74">Convert_Decimal(L74)</f>
        <v>40.481666666666669</v>
      </c>
      <c r="N74" t="s">
        <v>251</v>
      </c>
      <c r="P74">
        <v>855</v>
      </c>
      <c r="R74" s="1">
        <v>41388.916666666664</v>
      </c>
      <c r="S74" t="s">
        <v>36</v>
      </c>
      <c r="T74" t="s">
        <v>37</v>
      </c>
      <c r="U74" t="s">
        <v>38</v>
      </c>
      <c r="V74" t="s">
        <v>39</v>
      </c>
      <c r="W74">
        <v>1</v>
      </c>
      <c r="X74">
        <v>0</v>
      </c>
      <c r="Y74" t="b">
        <v>0</v>
      </c>
      <c r="Z74" t="s">
        <v>252</v>
      </c>
      <c r="AA74" t="s">
        <v>41</v>
      </c>
      <c r="AB74" s="1">
        <v>42765.958333333336</v>
      </c>
      <c r="AC74" t="s">
        <v>42</v>
      </c>
      <c r="AD74" t="s">
        <v>43</v>
      </c>
      <c r="AE74" t="s">
        <v>253</v>
      </c>
    </row>
    <row r="75" spans="1:31" x14ac:dyDescent="0.3">
      <c r="A75">
        <v>97252</v>
      </c>
      <c r="B75" t="s">
        <v>254</v>
      </c>
      <c r="C75" t="s">
        <v>184</v>
      </c>
      <c r="E75" t="s">
        <v>246</v>
      </c>
      <c r="F75" t="s">
        <v>247</v>
      </c>
      <c r="G75" t="s">
        <v>248</v>
      </c>
      <c r="H75" t="s">
        <v>255</v>
      </c>
      <c r="I75" t="s">
        <v>256</v>
      </c>
      <c r="J75" t="s">
        <v>257</v>
      </c>
      <c r="K75" t="s">
        <v>33</v>
      </c>
      <c r="L75" t="s">
        <v>575</v>
      </c>
      <c r="M75" cm="1">
        <f t="array" ref="M75">Convert_Decimal(L75)</f>
        <v>41.462777777777781</v>
      </c>
      <c r="N75" t="s">
        <v>258</v>
      </c>
      <c r="P75">
        <v>890</v>
      </c>
      <c r="R75" s="1">
        <v>41884.916666666664</v>
      </c>
      <c r="S75" t="s">
        <v>36</v>
      </c>
      <c r="T75" t="s">
        <v>259</v>
      </c>
      <c r="U75" t="s">
        <v>38</v>
      </c>
      <c r="V75" t="s">
        <v>39</v>
      </c>
      <c r="W75">
        <v>0</v>
      </c>
      <c r="X75">
        <v>1</v>
      </c>
      <c r="Y75" t="b">
        <v>0</v>
      </c>
      <c r="Z75" t="s">
        <v>260</v>
      </c>
      <c r="AA75" t="s">
        <v>41</v>
      </c>
      <c r="AB75" s="1">
        <v>42765.958333333336</v>
      </c>
      <c r="AC75" t="s">
        <v>42</v>
      </c>
      <c r="AD75" t="s">
        <v>43</v>
      </c>
      <c r="AE75" t="s">
        <v>261</v>
      </c>
    </row>
    <row r="76" spans="1:31" x14ac:dyDescent="0.3">
      <c r="A76">
        <v>97263</v>
      </c>
      <c r="B76" t="s">
        <v>262</v>
      </c>
      <c r="C76" t="s">
        <v>184</v>
      </c>
      <c r="E76" t="s">
        <v>246</v>
      </c>
      <c r="F76" t="s">
        <v>247</v>
      </c>
      <c r="G76" t="s">
        <v>248</v>
      </c>
      <c r="H76" t="s">
        <v>255</v>
      </c>
      <c r="I76" t="s">
        <v>263</v>
      </c>
      <c r="J76" t="s">
        <v>264</v>
      </c>
      <c r="K76" t="s">
        <v>33</v>
      </c>
      <c r="L76" t="s">
        <v>576</v>
      </c>
      <c r="M76" cm="1">
        <f t="array" ref="M76">Convert_Decimal(L76)</f>
        <v>40.500833333333333</v>
      </c>
      <c r="N76" t="s">
        <v>265</v>
      </c>
      <c r="P76">
        <v>1600</v>
      </c>
      <c r="R76" s="1">
        <v>41537.916666666664</v>
      </c>
      <c r="S76" t="s">
        <v>36</v>
      </c>
      <c r="T76" t="s">
        <v>37</v>
      </c>
      <c r="U76" t="s">
        <v>38</v>
      </c>
      <c r="V76" t="s">
        <v>39</v>
      </c>
      <c r="W76">
        <v>1</v>
      </c>
      <c r="X76">
        <v>0</v>
      </c>
      <c r="Y76" t="b">
        <v>0</v>
      </c>
      <c r="Z76" t="s">
        <v>266</v>
      </c>
      <c r="AA76" t="s">
        <v>41</v>
      </c>
      <c r="AB76" s="1">
        <v>42765.958333333336</v>
      </c>
      <c r="AC76" t="s">
        <v>42</v>
      </c>
      <c r="AD76" t="s">
        <v>43</v>
      </c>
      <c r="AE76" t="s">
        <v>253</v>
      </c>
    </row>
    <row r="77" spans="1:31" x14ac:dyDescent="0.3">
      <c r="A77">
        <v>97113</v>
      </c>
      <c r="B77" t="s">
        <v>267</v>
      </c>
      <c r="C77" t="s">
        <v>184</v>
      </c>
      <c r="E77" t="s">
        <v>268</v>
      </c>
      <c r="F77" t="s">
        <v>269</v>
      </c>
      <c r="G77" t="s">
        <v>270</v>
      </c>
      <c r="H77" t="s">
        <v>270</v>
      </c>
      <c r="I77" t="s">
        <v>271</v>
      </c>
      <c r="J77" t="s">
        <v>272</v>
      </c>
      <c r="K77" t="s">
        <v>33</v>
      </c>
      <c r="L77" t="s">
        <v>577</v>
      </c>
      <c r="M77" cm="1">
        <f t="array" ref="M77">Convert_Decimal(L77)</f>
        <v>40.255555555555553</v>
      </c>
      <c r="N77" t="s">
        <v>273</v>
      </c>
      <c r="P77">
        <v>85</v>
      </c>
      <c r="R77" s="1">
        <v>41402.916666666664</v>
      </c>
      <c r="S77" t="s">
        <v>49</v>
      </c>
      <c r="T77" t="s">
        <v>259</v>
      </c>
      <c r="U77" t="s">
        <v>38</v>
      </c>
      <c r="V77" t="s">
        <v>39</v>
      </c>
      <c r="W77">
        <v>0</v>
      </c>
      <c r="X77">
        <v>1</v>
      </c>
      <c r="Y77" t="b">
        <v>0</v>
      </c>
      <c r="Z77" t="s">
        <v>260</v>
      </c>
      <c r="AA77" t="s">
        <v>41</v>
      </c>
      <c r="AB77" s="1">
        <v>42765.958333333336</v>
      </c>
      <c r="AC77" t="s">
        <v>42</v>
      </c>
      <c r="AD77" t="s">
        <v>43</v>
      </c>
      <c r="AE77" t="s">
        <v>274</v>
      </c>
    </row>
    <row r="78" spans="1:31" x14ac:dyDescent="0.3">
      <c r="A78">
        <v>98032</v>
      </c>
      <c r="B78" t="s">
        <v>275</v>
      </c>
      <c r="C78" t="s">
        <v>184</v>
      </c>
      <c r="E78" t="s">
        <v>268</v>
      </c>
      <c r="F78" t="s">
        <v>269</v>
      </c>
      <c r="G78" t="s">
        <v>270</v>
      </c>
      <c r="H78" t="s">
        <v>276</v>
      </c>
      <c r="I78" t="s">
        <v>277</v>
      </c>
      <c r="J78" t="s">
        <v>33</v>
      </c>
      <c r="K78" t="s">
        <v>33</v>
      </c>
      <c r="L78" t="s">
        <v>578</v>
      </c>
      <c r="M78" cm="1">
        <f t="array" ref="M78">Convert_Decimal(L78)</f>
        <v>40.159722222222221</v>
      </c>
      <c r="N78" t="s">
        <v>278</v>
      </c>
      <c r="P78">
        <v>666</v>
      </c>
      <c r="R78" s="1">
        <v>42284.916666666664</v>
      </c>
      <c r="S78" t="s">
        <v>36</v>
      </c>
      <c r="T78" t="s">
        <v>37</v>
      </c>
      <c r="U78" t="s">
        <v>38</v>
      </c>
      <c r="V78" t="s">
        <v>39</v>
      </c>
      <c r="W78">
        <v>1</v>
      </c>
      <c r="X78">
        <v>0</v>
      </c>
      <c r="Y78" t="b">
        <v>0</v>
      </c>
      <c r="Z78" t="s">
        <v>279</v>
      </c>
      <c r="AA78" t="s">
        <v>41</v>
      </c>
      <c r="AB78" s="1">
        <v>42765.958333333336</v>
      </c>
      <c r="AC78" t="s">
        <v>42</v>
      </c>
      <c r="AD78" t="s">
        <v>43</v>
      </c>
      <c r="AE78" t="s">
        <v>253</v>
      </c>
    </row>
    <row r="79" spans="1:31" x14ac:dyDescent="0.3">
      <c r="A79">
        <v>95610</v>
      </c>
      <c r="B79" t="s">
        <v>280</v>
      </c>
      <c r="C79" t="s">
        <v>184</v>
      </c>
      <c r="E79" t="s">
        <v>281</v>
      </c>
      <c r="F79" t="s">
        <v>282</v>
      </c>
      <c r="G79" t="s">
        <v>283</v>
      </c>
      <c r="H79" t="s">
        <v>284</v>
      </c>
      <c r="I79" t="s">
        <v>284</v>
      </c>
      <c r="J79" t="s">
        <v>285</v>
      </c>
      <c r="K79" t="s">
        <v>33</v>
      </c>
      <c r="L79" t="s">
        <v>579</v>
      </c>
      <c r="M79" cm="1">
        <f t="array" ref="M79">Convert_Decimal(L79)</f>
        <v>41.242777777777775</v>
      </c>
      <c r="N79" t="s">
        <v>286</v>
      </c>
      <c r="P79">
        <v>75</v>
      </c>
      <c r="Q79" s="1">
        <v>40303.916666666664</v>
      </c>
      <c r="R79" s="1">
        <v>40303.916666666664</v>
      </c>
      <c r="S79" t="s">
        <v>36</v>
      </c>
      <c r="T79" t="s">
        <v>37</v>
      </c>
      <c r="U79" t="s">
        <v>38</v>
      </c>
      <c r="V79" t="s">
        <v>39</v>
      </c>
      <c r="W79">
        <v>1</v>
      </c>
      <c r="X79">
        <v>0</v>
      </c>
      <c r="Y79" t="b">
        <v>0</v>
      </c>
      <c r="Z79" t="s">
        <v>244</v>
      </c>
      <c r="AA79" t="s">
        <v>41</v>
      </c>
      <c r="AB79" s="1">
        <v>40946.958333333336</v>
      </c>
      <c r="AC79" t="s">
        <v>42</v>
      </c>
      <c r="AD79" t="s">
        <v>43</v>
      </c>
      <c r="AE79" t="s">
        <v>253</v>
      </c>
    </row>
    <row r="80" spans="1:31" x14ac:dyDescent="0.3">
      <c r="A80">
        <v>95634</v>
      </c>
      <c r="B80" t="s">
        <v>287</v>
      </c>
      <c r="C80" t="s">
        <v>184</v>
      </c>
      <c r="E80" t="s">
        <v>281</v>
      </c>
      <c r="F80" t="s">
        <v>282</v>
      </c>
      <c r="G80" t="s">
        <v>283</v>
      </c>
      <c r="H80" t="s">
        <v>284</v>
      </c>
      <c r="I80" t="s">
        <v>284</v>
      </c>
      <c r="J80" t="s">
        <v>285</v>
      </c>
      <c r="K80" t="s">
        <v>33</v>
      </c>
      <c r="L80" t="s">
        <v>579</v>
      </c>
      <c r="M80" cm="1">
        <f t="array" ref="M80">Convert_Decimal(L80)</f>
        <v>41.242777777777775</v>
      </c>
      <c r="N80" t="s">
        <v>286</v>
      </c>
      <c r="P80">
        <v>75</v>
      </c>
      <c r="Q80" s="1">
        <v>40314.916666666664</v>
      </c>
      <c r="R80" s="1">
        <v>40314.916666666664</v>
      </c>
      <c r="S80" t="s">
        <v>36</v>
      </c>
      <c r="T80" t="s">
        <v>37</v>
      </c>
      <c r="U80" t="s">
        <v>38</v>
      </c>
      <c r="V80" t="s">
        <v>39</v>
      </c>
      <c r="W80">
        <v>3</v>
      </c>
      <c r="X80">
        <v>0</v>
      </c>
      <c r="Y80" t="b">
        <v>0</v>
      </c>
      <c r="Z80" t="s">
        <v>244</v>
      </c>
      <c r="AA80" t="s">
        <v>41</v>
      </c>
      <c r="AB80" s="1">
        <v>40946.958333333336</v>
      </c>
      <c r="AC80" t="s">
        <v>42</v>
      </c>
      <c r="AD80" t="s">
        <v>43</v>
      </c>
      <c r="AE80" t="s">
        <v>253</v>
      </c>
    </row>
    <row r="81" spans="1:31" x14ac:dyDescent="0.3">
      <c r="A81">
        <v>97446</v>
      </c>
      <c r="B81" t="s">
        <v>288</v>
      </c>
      <c r="C81" t="s">
        <v>184</v>
      </c>
      <c r="E81" t="s">
        <v>281</v>
      </c>
      <c r="F81" t="s">
        <v>282</v>
      </c>
      <c r="G81" t="s">
        <v>283</v>
      </c>
      <c r="H81" t="s">
        <v>284</v>
      </c>
      <c r="I81" t="s">
        <v>284</v>
      </c>
      <c r="J81" t="s">
        <v>285</v>
      </c>
      <c r="K81" t="s">
        <v>33</v>
      </c>
      <c r="L81" t="s">
        <v>579</v>
      </c>
      <c r="M81" cm="1">
        <f t="array" ref="M81">Convert_Decimal(L81)</f>
        <v>41.242777777777775</v>
      </c>
      <c r="N81" t="s">
        <v>286</v>
      </c>
      <c r="P81">
        <v>75</v>
      </c>
      <c r="R81" s="1">
        <v>41072.916666666664</v>
      </c>
      <c r="S81" t="s">
        <v>36</v>
      </c>
      <c r="T81" t="s">
        <v>37</v>
      </c>
      <c r="U81" t="s">
        <v>38</v>
      </c>
      <c r="V81" t="s">
        <v>39</v>
      </c>
      <c r="W81">
        <v>0</v>
      </c>
      <c r="X81">
        <v>1</v>
      </c>
      <c r="Y81" t="b">
        <v>0</v>
      </c>
      <c r="Z81" t="s">
        <v>260</v>
      </c>
      <c r="AA81" t="s">
        <v>41</v>
      </c>
      <c r="AB81" s="1">
        <v>42765.958333333336</v>
      </c>
      <c r="AC81" t="s">
        <v>42</v>
      </c>
      <c r="AD81" t="s">
        <v>43</v>
      </c>
    </row>
    <row r="82" spans="1:31" x14ac:dyDescent="0.3">
      <c r="A82">
        <v>97416</v>
      </c>
      <c r="B82" t="s">
        <v>289</v>
      </c>
      <c r="C82" t="s">
        <v>184</v>
      </c>
      <c r="E82" t="s">
        <v>281</v>
      </c>
      <c r="F82" t="s">
        <v>282</v>
      </c>
      <c r="G82" t="s">
        <v>283</v>
      </c>
      <c r="H82" t="s">
        <v>284</v>
      </c>
      <c r="I82" t="s">
        <v>284</v>
      </c>
      <c r="J82" t="s">
        <v>285</v>
      </c>
      <c r="K82" t="s">
        <v>33</v>
      </c>
      <c r="L82" t="s">
        <v>579</v>
      </c>
      <c r="M82" cm="1">
        <f t="array" ref="M82">Convert_Decimal(L82)</f>
        <v>41.242777777777775</v>
      </c>
      <c r="N82" t="s">
        <v>286</v>
      </c>
      <c r="P82">
        <v>75</v>
      </c>
      <c r="R82" s="1">
        <v>41416.916666666664</v>
      </c>
      <c r="S82" t="s">
        <v>36</v>
      </c>
      <c r="T82" t="s">
        <v>37</v>
      </c>
      <c r="U82" t="s">
        <v>38</v>
      </c>
      <c r="V82" t="s">
        <v>39</v>
      </c>
      <c r="W82">
        <v>1</v>
      </c>
      <c r="X82">
        <v>0</v>
      </c>
      <c r="Y82" t="b">
        <v>0</v>
      </c>
      <c r="Z82" t="s">
        <v>290</v>
      </c>
      <c r="AA82" t="s">
        <v>41</v>
      </c>
      <c r="AB82" s="1">
        <v>42765.958333333336</v>
      </c>
      <c r="AC82" t="s">
        <v>42</v>
      </c>
      <c r="AD82" t="s">
        <v>43</v>
      </c>
      <c r="AE82" t="s">
        <v>253</v>
      </c>
    </row>
    <row r="83" spans="1:31" x14ac:dyDescent="0.3">
      <c r="A83">
        <v>96288</v>
      </c>
      <c r="B83" t="s">
        <v>291</v>
      </c>
      <c r="C83" t="s">
        <v>184</v>
      </c>
      <c r="E83" t="s">
        <v>281</v>
      </c>
      <c r="F83" t="s">
        <v>282</v>
      </c>
      <c r="G83" t="s">
        <v>283</v>
      </c>
      <c r="H83" t="s">
        <v>292</v>
      </c>
      <c r="I83" t="s">
        <v>293</v>
      </c>
      <c r="J83" t="s">
        <v>294</v>
      </c>
      <c r="K83" t="s">
        <v>33</v>
      </c>
      <c r="L83" t="s">
        <v>580</v>
      </c>
      <c r="M83" t="e" cm="1">
        <f t="array" ref="M83">Convert_Decimal(L83)</f>
        <v>#VALUE!</v>
      </c>
      <c r="N83" t="s">
        <v>295</v>
      </c>
      <c r="P83">
        <v>100</v>
      </c>
      <c r="Q83" s="1">
        <v>39952.916666666664</v>
      </c>
      <c r="R83" s="1">
        <v>39952.916666666664</v>
      </c>
      <c r="S83" t="s">
        <v>49</v>
      </c>
      <c r="T83" t="s">
        <v>37</v>
      </c>
      <c r="U83" t="s">
        <v>38</v>
      </c>
      <c r="V83" t="s">
        <v>39</v>
      </c>
      <c r="W83">
        <v>1</v>
      </c>
      <c r="X83">
        <v>3</v>
      </c>
      <c r="Y83" t="b">
        <v>0</v>
      </c>
      <c r="Z83" t="s">
        <v>244</v>
      </c>
      <c r="AA83" t="s">
        <v>41</v>
      </c>
      <c r="AB83" s="1">
        <v>40918.958333333336</v>
      </c>
      <c r="AC83" t="s">
        <v>42</v>
      </c>
      <c r="AD83" t="s">
        <v>43</v>
      </c>
      <c r="AE83" t="s">
        <v>253</v>
      </c>
    </row>
    <row r="84" spans="1:31" x14ac:dyDescent="0.3">
      <c r="A84">
        <v>97311</v>
      </c>
      <c r="B84" t="s">
        <v>296</v>
      </c>
      <c r="C84" t="s">
        <v>184</v>
      </c>
      <c r="E84" t="s">
        <v>297</v>
      </c>
      <c r="F84" t="s">
        <v>298</v>
      </c>
      <c r="G84" t="s">
        <v>299</v>
      </c>
      <c r="H84" t="s">
        <v>300</v>
      </c>
      <c r="I84" t="s">
        <v>301</v>
      </c>
      <c r="J84" t="s">
        <v>302</v>
      </c>
      <c r="K84" t="s">
        <v>33</v>
      </c>
      <c r="L84" t="s">
        <v>581</v>
      </c>
      <c r="M84" cm="1">
        <f t="array" ref="M84">Convert_Decimal(L84)</f>
        <v>39.58</v>
      </c>
      <c r="N84" t="s">
        <v>303</v>
      </c>
      <c r="P84">
        <v>10</v>
      </c>
      <c r="R84" s="1">
        <v>41171.916666666664</v>
      </c>
      <c r="S84" t="s">
        <v>36</v>
      </c>
      <c r="T84" t="s">
        <v>37</v>
      </c>
      <c r="U84" t="s">
        <v>38</v>
      </c>
      <c r="V84" t="s">
        <v>39</v>
      </c>
      <c r="W84">
        <v>3</v>
      </c>
      <c r="X84">
        <v>0</v>
      </c>
      <c r="Y84" t="b">
        <v>0</v>
      </c>
      <c r="Z84" t="s">
        <v>304</v>
      </c>
      <c r="AA84" t="s">
        <v>41</v>
      </c>
      <c r="AB84" s="1">
        <v>42765.958333333336</v>
      </c>
      <c r="AC84" t="s">
        <v>42</v>
      </c>
      <c r="AD84" t="s">
        <v>43</v>
      </c>
      <c r="AE84" t="s">
        <v>253</v>
      </c>
    </row>
    <row r="85" spans="1:31" x14ac:dyDescent="0.3">
      <c r="A85">
        <v>97324</v>
      </c>
      <c r="B85" t="s">
        <v>305</v>
      </c>
      <c r="C85" t="s">
        <v>184</v>
      </c>
      <c r="E85" t="s">
        <v>297</v>
      </c>
      <c r="F85" t="s">
        <v>298</v>
      </c>
      <c r="G85" t="s">
        <v>299</v>
      </c>
      <c r="H85" t="s">
        <v>300</v>
      </c>
      <c r="I85" t="s">
        <v>301</v>
      </c>
      <c r="J85" t="s">
        <v>302</v>
      </c>
      <c r="K85" t="s">
        <v>33</v>
      </c>
      <c r="L85" t="s">
        <v>581</v>
      </c>
      <c r="M85" cm="1">
        <f t="array" ref="M85">Convert_Decimal(L85)</f>
        <v>39.58</v>
      </c>
      <c r="N85" t="s">
        <v>303</v>
      </c>
      <c r="P85">
        <v>10</v>
      </c>
      <c r="R85" s="1">
        <v>41173.916666666664</v>
      </c>
      <c r="S85" t="s">
        <v>36</v>
      </c>
      <c r="T85" t="s">
        <v>37</v>
      </c>
      <c r="U85" t="s">
        <v>38</v>
      </c>
      <c r="V85" t="s">
        <v>39</v>
      </c>
      <c r="W85">
        <v>2</v>
      </c>
      <c r="X85">
        <v>3</v>
      </c>
      <c r="Y85" t="b">
        <v>0</v>
      </c>
      <c r="Z85" t="s">
        <v>306</v>
      </c>
      <c r="AA85" t="s">
        <v>41</v>
      </c>
      <c r="AB85" s="1">
        <v>42765.958333333336</v>
      </c>
      <c r="AC85" t="s">
        <v>42</v>
      </c>
      <c r="AD85" t="s">
        <v>43</v>
      </c>
      <c r="AE85" t="s">
        <v>253</v>
      </c>
    </row>
    <row r="86" spans="1:31" x14ac:dyDescent="0.3">
      <c r="A86">
        <v>97312</v>
      </c>
      <c r="B86" t="s">
        <v>307</v>
      </c>
      <c r="C86" t="s">
        <v>184</v>
      </c>
      <c r="E86" t="s">
        <v>297</v>
      </c>
      <c r="F86" t="s">
        <v>298</v>
      </c>
      <c r="G86" t="s">
        <v>299</v>
      </c>
      <c r="H86" t="s">
        <v>300</v>
      </c>
      <c r="I86" t="s">
        <v>301</v>
      </c>
      <c r="J86" t="s">
        <v>302</v>
      </c>
      <c r="K86" t="s">
        <v>33</v>
      </c>
      <c r="L86" t="s">
        <v>581</v>
      </c>
      <c r="M86" cm="1">
        <f t="array" ref="M86">Convert_Decimal(L86)</f>
        <v>39.58</v>
      </c>
      <c r="N86" t="s">
        <v>303</v>
      </c>
      <c r="P86">
        <v>10</v>
      </c>
      <c r="R86" s="1">
        <v>41177.916666666664</v>
      </c>
      <c r="S86" t="s">
        <v>36</v>
      </c>
      <c r="T86" t="s">
        <v>37</v>
      </c>
      <c r="U86" t="s">
        <v>38</v>
      </c>
      <c r="V86" t="s">
        <v>39</v>
      </c>
      <c r="W86">
        <v>0</v>
      </c>
      <c r="X86">
        <v>1</v>
      </c>
      <c r="Y86" t="b">
        <v>1</v>
      </c>
      <c r="Z86" t="s">
        <v>308</v>
      </c>
      <c r="AA86" t="s">
        <v>41</v>
      </c>
      <c r="AB86" s="1">
        <v>42765.958333333336</v>
      </c>
      <c r="AC86" t="s">
        <v>42</v>
      </c>
      <c r="AD86" t="s">
        <v>43</v>
      </c>
      <c r="AE86" t="s">
        <v>253</v>
      </c>
    </row>
    <row r="87" spans="1:31" x14ac:dyDescent="0.3">
      <c r="A87">
        <v>97342</v>
      </c>
      <c r="B87" t="s">
        <v>309</v>
      </c>
      <c r="C87" t="s">
        <v>184</v>
      </c>
      <c r="E87" t="s">
        <v>297</v>
      </c>
      <c r="F87" t="s">
        <v>310</v>
      </c>
      <c r="G87" t="s">
        <v>311</v>
      </c>
      <c r="H87" t="s">
        <v>312</v>
      </c>
      <c r="I87" t="s">
        <v>313</v>
      </c>
      <c r="J87" t="s">
        <v>314</v>
      </c>
      <c r="K87" t="s">
        <v>33</v>
      </c>
      <c r="L87" t="s">
        <v>582</v>
      </c>
      <c r="M87" cm="1">
        <f t="array" ref="M87">Convert_Decimal(L87)</f>
        <v>40.711111111111109</v>
      </c>
      <c r="N87" t="s">
        <v>315</v>
      </c>
      <c r="P87">
        <v>50</v>
      </c>
      <c r="R87" s="1">
        <v>41507.916666666664</v>
      </c>
      <c r="S87" t="s">
        <v>36</v>
      </c>
      <c r="T87" t="s">
        <v>37</v>
      </c>
      <c r="U87" t="s">
        <v>38</v>
      </c>
      <c r="V87" t="s">
        <v>39</v>
      </c>
      <c r="W87">
        <v>1</v>
      </c>
      <c r="X87">
        <v>2</v>
      </c>
      <c r="Y87" t="b">
        <v>0</v>
      </c>
      <c r="Z87" t="s">
        <v>316</v>
      </c>
      <c r="AA87" t="s">
        <v>41</v>
      </c>
      <c r="AB87" s="1">
        <v>42765.958333333336</v>
      </c>
      <c r="AC87" t="s">
        <v>42</v>
      </c>
      <c r="AD87" t="s">
        <v>43</v>
      </c>
      <c r="AE87" t="s">
        <v>253</v>
      </c>
    </row>
    <row r="88" spans="1:31" x14ac:dyDescent="0.3">
      <c r="A88">
        <v>99752</v>
      </c>
      <c r="B88" t="s">
        <v>317</v>
      </c>
      <c r="C88" t="s">
        <v>184</v>
      </c>
      <c r="E88" t="s">
        <v>297</v>
      </c>
      <c r="F88" t="s">
        <v>310</v>
      </c>
      <c r="G88" t="s">
        <v>311</v>
      </c>
      <c r="H88" t="s">
        <v>312</v>
      </c>
      <c r="I88" t="s">
        <v>313</v>
      </c>
      <c r="J88" t="s">
        <v>314</v>
      </c>
      <c r="K88" t="s">
        <v>33</v>
      </c>
      <c r="L88" t="s">
        <v>582</v>
      </c>
      <c r="M88" cm="1">
        <f t="array" ref="M88">Convert_Decimal(L88)</f>
        <v>40.711111111111109</v>
      </c>
      <c r="N88" t="s">
        <v>315</v>
      </c>
      <c r="P88">
        <v>50</v>
      </c>
      <c r="R88" s="1">
        <v>41535.916666666664</v>
      </c>
      <c r="S88" t="s">
        <v>36</v>
      </c>
      <c r="T88" t="s">
        <v>37</v>
      </c>
      <c r="U88" t="s">
        <v>38</v>
      </c>
      <c r="V88" t="s">
        <v>39</v>
      </c>
      <c r="W88">
        <v>1</v>
      </c>
      <c r="X88">
        <v>0</v>
      </c>
      <c r="Y88" t="b">
        <v>0</v>
      </c>
      <c r="Z88" t="s">
        <v>318</v>
      </c>
      <c r="AA88" t="s">
        <v>41</v>
      </c>
      <c r="AB88" s="1">
        <v>42765.958333333336</v>
      </c>
      <c r="AC88" t="s">
        <v>42</v>
      </c>
      <c r="AD88" t="s">
        <v>43</v>
      </c>
    </row>
    <row r="89" spans="1:31" x14ac:dyDescent="0.3">
      <c r="A89">
        <v>97346</v>
      </c>
      <c r="B89" t="s">
        <v>317</v>
      </c>
      <c r="C89" t="s">
        <v>184</v>
      </c>
      <c r="E89" t="s">
        <v>297</v>
      </c>
      <c r="F89" t="s">
        <v>310</v>
      </c>
      <c r="G89" t="s">
        <v>311</v>
      </c>
      <c r="H89" t="s">
        <v>312</v>
      </c>
      <c r="I89" t="s">
        <v>313</v>
      </c>
      <c r="J89" t="s">
        <v>314</v>
      </c>
      <c r="K89" t="s">
        <v>33</v>
      </c>
      <c r="L89" t="s">
        <v>582</v>
      </c>
      <c r="M89" cm="1">
        <f t="array" ref="M89">Convert_Decimal(L89)</f>
        <v>40.711111111111109</v>
      </c>
      <c r="N89" t="s">
        <v>315</v>
      </c>
      <c r="P89">
        <v>50</v>
      </c>
      <c r="R89" s="1">
        <v>41535.916666666664</v>
      </c>
      <c r="S89" t="s">
        <v>36</v>
      </c>
      <c r="T89" t="s">
        <v>37</v>
      </c>
      <c r="U89" t="s">
        <v>38</v>
      </c>
      <c r="V89" t="s">
        <v>39</v>
      </c>
      <c r="W89">
        <v>6</v>
      </c>
      <c r="X89">
        <v>5</v>
      </c>
      <c r="Y89" t="b">
        <v>0</v>
      </c>
      <c r="Z89" t="s">
        <v>319</v>
      </c>
      <c r="AA89" t="s">
        <v>41</v>
      </c>
      <c r="AB89" s="1">
        <v>42765.958333333336</v>
      </c>
      <c r="AC89" t="s">
        <v>42</v>
      </c>
      <c r="AD89" t="s">
        <v>43</v>
      </c>
      <c r="AE89" t="s">
        <v>253</v>
      </c>
    </row>
    <row r="90" spans="1:31" x14ac:dyDescent="0.3">
      <c r="A90">
        <v>97344</v>
      </c>
      <c r="B90" t="s">
        <v>320</v>
      </c>
      <c r="C90" t="s">
        <v>184</v>
      </c>
      <c r="E90" t="s">
        <v>297</v>
      </c>
      <c r="F90" t="s">
        <v>310</v>
      </c>
      <c r="G90" t="s">
        <v>311</v>
      </c>
      <c r="H90" t="s">
        <v>312</v>
      </c>
      <c r="I90" t="s">
        <v>313</v>
      </c>
      <c r="J90" t="s">
        <v>314</v>
      </c>
      <c r="K90" t="s">
        <v>33</v>
      </c>
      <c r="L90" t="s">
        <v>582</v>
      </c>
      <c r="M90" cm="1">
        <f t="array" ref="M90">Convert_Decimal(L90)</f>
        <v>40.711111111111109</v>
      </c>
      <c r="N90" t="s">
        <v>315</v>
      </c>
      <c r="P90">
        <v>50</v>
      </c>
      <c r="R90" s="1">
        <v>41535.916666666664</v>
      </c>
      <c r="S90" t="s">
        <v>49</v>
      </c>
      <c r="T90" t="s">
        <v>37</v>
      </c>
      <c r="U90" t="s">
        <v>38</v>
      </c>
      <c r="V90" t="s">
        <v>39</v>
      </c>
      <c r="W90">
        <v>0</v>
      </c>
      <c r="X90">
        <v>1</v>
      </c>
      <c r="Y90" t="b">
        <v>0</v>
      </c>
      <c r="Z90" t="s">
        <v>316</v>
      </c>
      <c r="AA90" t="s">
        <v>41</v>
      </c>
      <c r="AB90" s="1">
        <v>42765.958333333336</v>
      </c>
      <c r="AC90" t="s">
        <v>42</v>
      </c>
      <c r="AD90" t="s">
        <v>43</v>
      </c>
      <c r="AE90" t="s">
        <v>253</v>
      </c>
    </row>
    <row r="91" spans="1:31" x14ac:dyDescent="0.3">
      <c r="A91">
        <v>96290</v>
      </c>
      <c r="B91" t="s">
        <v>321</v>
      </c>
      <c r="C91" t="s">
        <v>184</v>
      </c>
      <c r="E91" t="s">
        <v>322</v>
      </c>
      <c r="F91" t="s">
        <v>323</v>
      </c>
      <c r="G91" t="s">
        <v>324</v>
      </c>
      <c r="H91" t="s">
        <v>325</v>
      </c>
      <c r="I91" t="s">
        <v>326</v>
      </c>
      <c r="J91" t="s">
        <v>33</v>
      </c>
      <c r="K91" t="s">
        <v>33</v>
      </c>
      <c r="L91" t="s">
        <v>583</v>
      </c>
      <c r="M91" cm="1">
        <f t="array" ref="M91">Convert_Decimal(L91)</f>
        <v>41.619444444444447</v>
      </c>
      <c r="N91" t="s">
        <v>327</v>
      </c>
      <c r="P91">
        <v>37.5</v>
      </c>
      <c r="Q91" s="1">
        <v>39940.916666666664</v>
      </c>
      <c r="R91" s="1">
        <v>39940.916666666664</v>
      </c>
      <c r="S91" t="s">
        <v>49</v>
      </c>
      <c r="T91" t="s">
        <v>37</v>
      </c>
      <c r="U91" t="s">
        <v>38</v>
      </c>
      <c r="V91" t="s">
        <v>39</v>
      </c>
      <c r="W91">
        <v>9</v>
      </c>
      <c r="X91">
        <v>5</v>
      </c>
      <c r="Y91" t="b">
        <v>0</v>
      </c>
      <c r="Z91" t="s">
        <v>328</v>
      </c>
      <c r="AA91" t="s">
        <v>41</v>
      </c>
      <c r="AB91" s="1">
        <v>40918.958333333336</v>
      </c>
      <c r="AC91" t="s">
        <v>42</v>
      </c>
      <c r="AD91" t="s">
        <v>43</v>
      </c>
      <c r="AE91" t="s">
        <v>329</v>
      </c>
    </row>
    <row r="92" spans="1:31" x14ac:dyDescent="0.3">
      <c r="A92">
        <v>96640</v>
      </c>
      <c r="B92" t="s">
        <v>330</v>
      </c>
      <c r="C92" t="s">
        <v>184</v>
      </c>
      <c r="E92" t="s">
        <v>322</v>
      </c>
      <c r="F92" t="s">
        <v>323</v>
      </c>
      <c r="G92" t="s">
        <v>324</v>
      </c>
      <c r="H92" t="s">
        <v>325</v>
      </c>
      <c r="I92" t="s">
        <v>326</v>
      </c>
      <c r="J92" t="s">
        <v>33</v>
      </c>
      <c r="K92" t="s">
        <v>33</v>
      </c>
      <c r="L92" t="s">
        <v>583</v>
      </c>
      <c r="M92" cm="1">
        <f t="array" ref="M92">Convert_Decimal(L92)</f>
        <v>41.619444444444447</v>
      </c>
      <c r="N92" t="s">
        <v>327</v>
      </c>
      <c r="P92">
        <v>37.5</v>
      </c>
      <c r="R92" s="1">
        <v>41049.916666666664</v>
      </c>
      <c r="S92" t="s">
        <v>36</v>
      </c>
      <c r="T92" t="s">
        <v>37</v>
      </c>
      <c r="U92" t="s">
        <v>38</v>
      </c>
      <c r="V92" t="s">
        <v>39</v>
      </c>
      <c r="W92">
        <v>4</v>
      </c>
      <c r="X92">
        <v>1</v>
      </c>
      <c r="Y92" t="b">
        <v>0</v>
      </c>
      <c r="Z92" t="s">
        <v>331</v>
      </c>
      <c r="AA92" t="s">
        <v>41</v>
      </c>
      <c r="AB92" s="1">
        <v>42765.958333333336</v>
      </c>
      <c r="AC92" t="s">
        <v>42</v>
      </c>
      <c r="AD92" t="s">
        <v>43</v>
      </c>
      <c r="AE92" t="s">
        <v>253</v>
      </c>
    </row>
    <row r="93" spans="1:31" x14ac:dyDescent="0.3">
      <c r="A93">
        <v>96629</v>
      </c>
      <c r="B93" t="s">
        <v>332</v>
      </c>
      <c r="C93" t="s">
        <v>184</v>
      </c>
      <c r="E93" t="s">
        <v>322</v>
      </c>
      <c r="F93" t="s">
        <v>323</v>
      </c>
      <c r="G93" t="s">
        <v>324</v>
      </c>
      <c r="H93" t="s">
        <v>325</v>
      </c>
      <c r="I93" t="s">
        <v>326</v>
      </c>
      <c r="J93" t="s">
        <v>33</v>
      </c>
      <c r="K93" t="s">
        <v>33</v>
      </c>
      <c r="L93" t="s">
        <v>583</v>
      </c>
      <c r="M93" cm="1">
        <f t="array" ref="M93">Convert_Decimal(L93)</f>
        <v>41.619444444444447</v>
      </c>
      <c r="N93" t="s">
        <v>327</v>
      </c>
      <c r="P93">
        <v>37.5</v>
      </c>
      <c r="R93" s="1">
        <v>41063.916666666664</v>
      </c>
      <c r="S93" t="s">
        <v>36</v>
      </c>
      <c r="T93" t="s">
        <v>37</v>
      </c>
      <c r="U93" t="s">
        <v>38</v>
      </c>
      <c r="V93" t="s">
        <v>39</v>
      </c>
      <c r="W93">
        <v>2</v>
      </c>
      <c r="X93">
        <v>3</v>
      </c>
      <c r="Y93" t="b">
        <v>0</v>
      </c>
      <c r="Z93" t="s">
        <v>333</v>
      </c>
      <c r="AA93" t="s">
        <v>41</v>
      </c>
      <c r="AB93" s="1">
        <v>42765.958333333336</v>
      </c>
      <c r="AC93" t="s">
        <v>42</v>
      </c>
      <c r="AD93" t="s">
        <v>43</v>
      </c>
      <c r="AE93" t="s">
        <v>253</v>
      </c>
    </row>
    <row r="94" spans="1:31" x14ac:dyDescent="0.3">
      <c r="A94">
        <v>96669</v>
      </c>
      <c r="B94" t="s">
        <v>334</v>
      </c>
      <c r="C94" t="s">
        <v>184</v>
      </c>
      <c r="E94" t="s">
        <v>322</v>
      </c>
      <c r="F94" t="s">
        <v>323</v>
      </c>
      <c r="G94" t="s">
        <v>324</v>
      </c>
      <c r="H94" t="s">
        <v>325</v>
      </c>
      <c r="I94" t="s">
        <v>326</v>
      </c>
      <c r="J94" t="s">
        <v>33</v>
      </c>
      <c r="K94" t="s">
        <v>33</v>
      </c>
      <c r="L94" t="s">
        <v>584</v>
      </c>
      <c r="M94" cm="1">
        <f t="array" ref="M94">Convert_Decimal(L94)</f>
        <v>41.616666666666667</v>
      </c>
      <c r="N94" t="s">
        <v>335</v>
      </c>
      <c r="P94">
        <v>37.5</v>
      </c>
      <c r="Q94" s="1">
        <v>41049.916666666664</v>
      </c>
      <c r="R94" s="1">
        <v>41063.916666666664</v>
      </c>
      <c r="S94" t="s">
        <v>116</v>
      </c>
      <c r="T94" t="s">
        <v>37</v>
      </c>
      <c r="U94" t="s">
        <v>38</v>
      </c>
      <c r="V94" t="s">
        <v>39</v>
      </c>
      <c r="W94">
        <v>0</v>
      </c>
      <c r="X94">
        <v>1</v>
      </c>
      <c r="Y94" t="b">
        <v>1</v>
      </c>
      <c r="Z94" t="s">
        <v>336</v>
      </c>
      <c r="AA94" t="s">
        <v>41</v>
      </c>
      <c r="AB94" s="1">
        <v>42765.958333333336</v>
      </c>
      <c r="AC94" t="s">
        <v>42</v>
      </c>
      <c r="AD94" t="s">
        <v>43</v>
      </c>
      <c r="AE94" t="s">
        <v>253</v>
      </c>
    </row>
    <row r="95" spans="1:31" x14ac:dyDescent="0.3">
      <c r="A95">
        <v>96626</v>
      </c>
      <c r="B95" t="s">
        <v>337</v>
      </c>
      <c r="C95" t="s">
        <v>184</v>
      </c>
      <c r="E95" t="s">
        <v>322</v>
      </c>
      <c r="F95" t="s">
        <v>323</v>
      </c>
      <c r="G95" t="s">
        <v>324</v>
      </c>
      <c r="H95" t="s">
        <v>325</v>
      </c>
      <c r="I95" t="s">
        <v>326</v>
      </c>
      <c r="J95" t="s">
        <v>33</v>
      </c>
      <c r="K95" t="s">
        <v>33</v>
      </c>
      <c r="L95" t="s">
        <v>583</v>
      </c>
      <c r="M95" cm="1">
        <f t="array" ref="M95">Convert_Decimal(L95)</f>
        <v>41.619444444444447</v>
      </c>
      <c r="N95" t="s">
        <v>327</v>
      </c>
      <c r="P95">
        <v>37.5</v>
      </c>
      <c r="R95" s="1">
        <v>41377.916666666664</v>
      </c>
      <c r="S95" t="s">
        <v>36</v>
      </c>
      <c r="T95" t="s">
        <v>37</v>
      </c>
      <c r="U95" t="s">
        <v>38</v>
      </c>
      <c r="V95" t="s">
        <v>39</v>
      </c>
      <c r="W95">
        <v>2</v>
      </c>
      <c r="X95">
        <v>2</v>
      </c>
      <c r="Y95" t="b">
        <v>0</v>
      </c>
      <c r="Z95" t="s">
        <v>338</v>
      </c>
      <c r="AA95" t="s">
        <v>41</v>
      </c>
      <c r="AB95" s="1">
        <v>42765.958333333336</v>
      </c>
      <c r="AC95" t="s">
        <v>42</v>
      </c>
      <c r="AD95" t="s">
        <v>43</v>
      </c>
      <c r="AE95" t="s">
        <v>253</v>
      </c>
    </row>
    <row r="96" spans="1:31" x14ac:dyDescent="0.3">
      <c r="A96">
        <v>96681</v>
      </c>
      <c r="B96" t="s">
        <v>339</v>
      </c>
      <c r="C96" t="s">
        <v>184</v>
      </c>
      <c r="E96" t="s">
        <v>322</v>
      </c>
      <c r="F96" t="s">
        <v>323</v>
      </c>
      <c r="G96" t="s">
        <v>324</v>
      </c>
      <c r="H96" t="s">
        <v>340</v>
      </c>
      <c r="I96" t="s">
        <v>341</v>
      </c>
      <c r="J96" t="s">
        <v>342</v>
      </c>
      <c r="K96" t="s">
        <v>33</v>
      </c>
      <c r="L96" t="s">
        <v>585</v>
      </c>
      <c r="M96" cm="1">
        <f t="array" ref="M96">Convert_Decimal(L96)</f>
        <v>41.512222222222221</v>
      </c>
      <c r="N96" t="s">
        <v>343</v>
      </c>
      <c r="P96">
        <v>2</v>
      </c>
      <c r="R96" s="1">
        <v>41051.916666666664</v>
      </c>
      <c r="S96" t="s">
        <v>36</v>
      </c>
      <c r="T96" t="s">
        <v>37</v>
      </c>
      <c r="U96" t="s">
        <v>38</v>
      </c>
      <c r="V96" t="s">
        <v>39</v>
      </c>
      <c r="W96">
        <v>0</v>
      </c>
      <c r="X96">
        <v>3</v>
      </c>
      <c r="Y96" t="b">
        <v>0</v>
      </c>
      <c r="Z96" t="s">
        <v>260</v>
      </c>
      <c r="AA96" t="s">
        <v>41</v>
      </c>
      <c r="AB96" s="1">
        <v>42765.958333333336</v>
      </c>
      <c r="AC96" t="s">
        <v>42</v>
      </c>
      <c r="AD96" t="s">
        <v>43</v>
      </c>
      <c r="AE96" t="s">
        <v>253</v>
      </c>
    </row>
    <row r="97" spans="1:31" x14ac:dyDescent="0.3">
      <c r="A97">
        <v>96682</v>
      </c>
      <c r="B97" t="s">
        <v>339</v>
      </c>
      <c r="C97" t="s">
        <v>184</v>
      </c>
      <c r="E97" t="s">
        <v>322</v>
      </c>
      <c r="F97" t="s">
        <v>323</v>
      </c>
      <c r="G97" t="s">
        <v>324</v>
      </c>
      <c r="H97" t="s">
        <v>340</v>
      </c>
      <c r="I97" t="s">
        <v>341</v>
      </c>
      <c r="J97" t="s">
        <v>342</v>
      </c>
      <c r="K97" t="s">
        <v>33</v>
      </c>
      <c r="L97" t="s">
        <v>585</v>
      </c>
      <c r="M97" cm="1">
        <f t="array" ref="M97">Convert_Decimal(L97)</f>
        <v>41.512222222222221</v>
      </c>
      <c r="N97" t="s">
        <v>343</v>
      </c>
      <c r="P97">
        <v>2</v>
      </c>
      <c r="R97" s="1">
        <v>41051.916666666664</v>
      </c>
      <c r="S97" t="s">
        <v>36</v>
      </c>
      <c r="T97" t="s">
        <v>37</v>
      </c>
      <c r="U97" t="s">
        <v>38</v>
      </c>
      <c r="V97" t="s">
        <v>39</v>
      </c>
      <c r="W97">
        <v>1</v>
      </c>
      <c r="X97">
        <v>0</v>
      </c>
      <c r="Y97" t="b">
        <v>0</v>
      </c>
      <c r="Z97" t="s">
        <v>344</v>
      </c>
      <c r="AA97" t="s">
        <v>41</v>
      </c>
      <c r="AB97" s="1">
        <v>42765.958333333336</v>
      </c>
      <c r="AC97" t="s">
        <v>42</v>
      </c>
      <c r="AD97" t="s">
        <v>43</v>
      </c>
      <c r="AE97" t="s">
        <v>253</v>
      </c>
    </row>
    <row r="98" spans="1:31" x14ac:dyDescent="0.3">
      <c r="A98">
        <v>96692</v>
      </c>
      <c r="B98" t="s">
        <v>345</v>
      </c>
      <c r="C98" t="s">
        <v>184</v>
      </c>
      <c r="E98" t="s">
        <v>322</v>
      </c>
      <c r="F98" t="s">
        <v>323</v>
      </c>
      <c r="G98" t="s">
        <v>324</v>
      </c>
      <c r="H98" t="s">
        <v>340</v>
      </c>
      <c r="I98" t="s">
        <v>341</v>
      </c>
      <c r="J98" t="s">
        <v>342</v>
      </c>
      <c r="K98" t="s">
        <v>33</v>
      </c>
      <c r="L98" t="s">
        <v>585</v>
      </c>
      <c r="M98" cm="1">
        <f t="array" ref="M98">Convert_Decimal(L98)</f>
        <v>41.512222222222221</v>
      </c>
      <c r="N98" t="s">
        <v>343</v>
      </c>
      <c r="P98">
        <v>2</v>
      </c>
      <c r="R98" s="1">
        <v>42112.916666666664</v>
      </c>
      <c r="S98" t="s">
        <v>36</v>
      </c>
      <c r="T98" t="s">
        <v>37</v>
      </c>
      <c r="U98" t="s">
        <v>38</v>
      </c>
      <c r="V98" t="s">
        <v>39</v>
      </c>
      <c r="W98">
        <v>1</v>
      </c>
      <c r="X98">
        <v>0</v>
      </c>
      <c r="Y98" t="b">
        <v>0</v>
      </c>
      <c r="Z98" t="s">
        <v>346</v>
      </c>
      <c r="AA98" t="s">
        <v>41</v>
      </c>
      <c r="AB98" s="1">
        <v>42765.958333333336</v>
      </c>
      <c r="AC98" t="s">
        <v>42</v>
      </c>
      <c r="AD98" t="s">
        <v>43</v>
      </c>
      <c r="AE98" t="s">
        <v>253</v>
      </c>
    </row>
    <row r="99" spans="1:31" x14ac:dyDescent="0.3">
      <c r="A99">
        <v>96700</v>
      </c>
      <c r="B99" t="s">
        <v>347</v>
      </c>
      <c r="C99" t="s">
        <v>184</v>
      </c>
      <c r="E99" t="s">
        <v>322</v>
      </c>
      <c r="F99" t="s">
        <v>323</v>
      </c>
      <c r="G99" t="s">
        <v>324</v>
      </c>
      <c r="H99" t="s">
        <v>340</v>
      </c>
      <c r="I99" t="s">
        <v>348</v>
      </c>
      <c r="J99" t="s">
        <v>349</v>
      </c>
      <c r="K99" t="s">
        <v>33</v>
      </c>
      <c r="L99" t="s">
        <v>586</v>
      </c>
      <c r="M99" cm="1">
        <f t="array" ref="M99">Convert_Decimal(L99)</f>
        <v>41.546944444444442</v>
      </c>
      <c r="N99" t="s">
        <v>350</v>
      </c>
      <c r="P99">
        <v>23</v>
      </c>
      <c r="R99" s="1">
        <v>41378.916666666664</v>
      </c>
      <c r="S99" t="s">
        <v>36</v>
      </c>
      <c r="T99" t="s">
        <v>37</v>
      </c>
      <c r="U99" t="s">
        <v>38</v>
      </c>
      <c r="V99" t="s">
        <v>39</v>
      </c>
      <c r="W99">
        <v>1</v>
      </c>
      <c r="X99">
        <v>0</v>
      </c>
      <c r="Y99" t="b">
        <v>0</v>
      </c>
      <c r="Z99" t="s">
        <v>351</v>
      </c>
      <c r="AA99" t="s">
        <v>41</v>
      </c>
      <c r="AB99" s="1">
        <v>42765.958333333336</v>
      </c>
      <c r="AC99" t="s">
        <v>42</v>
      </c>
      <c r="AD99" t="s">
        <v>43</v>
      </c>
      <c r="AE99" t="s">
        <v>253</v>
      </c>
    </row>
    <row r="100" spans="1:31" x14ac:dyDescent="0.3">
      <c r="A100">
        <v>96461</v>
      </c>
      <c r="B100" t="s">
        <v>352</v>
      </c>
      <c r="C100" t="s">
        <v>184</v>
      </c>
      <c r="E100" t="s">
        <v>322</v>
      </c>
      <c r="F100" t="s">
        <v>323</v>
      </c>
      <c r="G100" t="s">
        <v>324</v>
      </c>
      <c r="H100" t="s">
        <v>353</v>
      </c>
      <c r="I100" t="s">
        <v>354</v>
      </c>
      <c r="J100" t="s">
        <v>355</v>
      </c>
      <c r="K100" t="s">
        <v>33</v>
      </c>
      <c r="L100" t="s">
        <v>587</v>
      </c>
      <c r="M100" cm="1">
        <f t="array" ref="M100">Convert_Decimal(L100)</f>
        <v>41.779722222222219</v>
      </c>
      <c r="N100" t="s">
        <v>356</v>
      </c>
      <c r="P100">
        <v>500</v>
      </c>
      <c r="Q100" s="1">
        <v>40382.916666666664</v>
      </c>
      <c r="R100" s="1">
        <v>40382.916666666664</v>
      </c>
      <c r="S100" t="s">
        <v>49</v>
      </c>
      <c r="T100" t="s">
        <v>37</v>
      </c>
      <c r="U100" t="s">
        <v>38</v>
      </c>
      <c r="V100" t="s">
        <v>39</v>
      </c>
      <c r="W100">
        <v>0</v>
      </c>
      <c r="X100">
        <v>1</v>
      </c>
      <c r="Y100" t="b">
        <v>1</v>
      </c>
      <c r="Z100" t="s">
        <v>357</v>
      </c>
      <c r="AA100" t="s">
        <v>41</v>
      </c>
      <c r="AB100" s="1">
        <v>40936.958333333336</v>
      </c>
      <c r="AC100" t="s">
        <v>42</v>
      </c>
      <c r="AD100" t="s">
        <v>43</v>
      </c>
      <c r="AE100" t="s">
        <v>253</v>
      </c>
    </row>
    <row r="101" spans="1:31" x14ac:dyDescent="0.3">
      <c r="A101">
        <v>95758</v>
      </c>
      <c r="B101" t="s">
        <v>358</v>
      </c>
      <c r="C101" t="s">
        <v>184</v>
      </c>
      <c r="E101" t="s">
        <v>359</v>
      </c>
      <c r="F101" t="s">
        <v>360</v>
      </c>
      <c r="G101" t="s">
        <v>361</v>
      </c>
      <c r="H101" t="s">
        <v>362</v>
      </c>
      <c r="I101" t="s">
        <v>363</v>
      </c>
      <c r="J101" t="s">
        <v>33</v>
      </c>
      <c r="K101" t="s">
        <v>33</v>
      </c>
      <c r="L101" t="s">
        <v>588</v>
      </c>
      <c r="M101" cm="1">
        <f t="array" ref="M101">Convert_Decimal(L101)</f>
        <v>39.498055555555553</v>
      </c>
      <c r="N101" t="s">
        <v>364</v>
      </c>
      <c r="P101">
        <v>75</v>
      </c>
      <c r="Q101" s="1">
        <v>40631.916666666664</v>
      </c>
      <c r="R101" s="1">
        <v>40631.916666666664</v>
      </c>
      <c r="S101" t="s">
        <v>36</v>
      </c>
      <c r="T101" t="s">
        <v>37</v>
      </c>
      <c r="U101" t="s">
        <v>38</v>
      </c>
      <c r="V101" t="s">
        <v>39</v>
      </c>
      <c r="W101">
        <v>1</v>
      </c>
      <c r="X101">
        <v>0</v>
      </c>
      <c r="Y101" t="b">
        <v>0</v>
      </c>
      <c r="Z101" t="s">
        <v>244</v>
      </c>
      <c r="AA101" t="s">
        <v>41</v>
      </c>
      <c r="AB101" s="1">
        <v>40712.916666666664</v>
      </c>
      <c r="AC101" t="s">
        <v>42</v>
      </c>
      <c r="AD101" t="s">
        <v>43</v>
      </c>
      <c r="AE101" t="s">
        <v>253</v>
      </c>
    </row>
    <row r="102" spans="1:31" x14ac:dyDescent="0.3">
      <c r="A102">
        <v>98192</v>
      </c>
      <c r="B102" t="s">
        <v>365</v>
      </c>
      <c r="C102" t="s">
        <v>184</v>
      </c>
      <c r="E102" t="s">
        <v>359</v>
      </c>
      <c r="F102" t="s">
        <v>360</v>
      </c>
      <c r="G102" t="s">
        <v>361</v>
      </c>
      <c r="H102" t="s">
        <v>366</v>
      </c>
      <c r="I102" t="s">
        <v>367</v>
      </c>
      <c r="J102" t="s">
        <v>368</v>
      </c>
      <c r="K102" t="s">
        <v>33</v>
      </c>
      <c r="L102" t="s">
        <v>589</v>
      </c>
      <c r="M102" cm="1">
        <f t="array" ref="M102">Convert_Decimal(L102)</f>
        <v>40.812777777777775</v>
      </c>
      <c r="N102" t="s">
        <v>369</v>
      </c>
      <c r="P102">
        <v>65</v>
      </c>
      <c r="R102" s="1">
        <v>41393.916666666664</v>
      </c>
      <c r="S102" t="s">
        <v>36</v>
      </c>
      <c r="T102" t="s">
        <v>259</v>
      </c>
      <c r="U102" t="s">
        <v>38</v>
      </c>
      <c r="V102" t="s">
        <v>39</v>
      </c>
      <c r="W102">
        <v>0</v>
      </c>
      <c r="X102">
        <v>1</v>
      </c>
      <c r="Y102" t="b">
        <v>0</v>
      </c>
      <c r="Z102" t="s">
        <v>260</v>
      </c>
      <c r="AA102" t="s">
        <v>41</v>
      </c>
      <c r="AB102" s="1">
        <v>43255.916666666664</v>
      </c>
      <c r="AC102" t="s">
        <v>42</v>
      </c>
      <c r="AD102" t="s">
        <v>43</v>
      </c>
    </row>
    <row r="103" spans="1:31" x14ac:dyDescent="0.3">
      <c r="A103">
        <v>96783</v>
      </c>
      <c r="B103" t="s">
        <v>370</v>
      </c>
      <c r="C103" t="s">
        <v>184</v>
      </c>
      <c r="E103" t="s">
        <v>371</v>
      </c>
      <c r="F103" t="s">
        <v>372</v>
      </c>
      <c r="G103" t="s">
        <v>373</v>
      </c>
      <c r="H103" t="s">
        <v>373</v>
      </c>
      <c r="I103" t="s">
        <v>374</v>
      </c>
      <c r="J103" t="s">
        <v>33</v>
      </c>
      <c r="K103" t="s">
        <v>33</v>
      </c>
      <c r="L103" t="s">
        <v>590</v>
      </c>
      <c r="M103" cm="1">
        <f t="array" ref="M103">Convert_Decimal(L103)</f>
        <v>41.894722222222221</v>
      </c>
      <c r="N103" t="s">
        <v>375</v>
      </c>
      <c r="P103">
        <v>611</v>
      </c>
      <c r="R103" s="1">
        <v>42278.916666666664</v>
      </c>
      <c r="S103" t="s">
        <v>36</v>
      </c>
      <c r="T103" t="s">
        <v>37</v>
      </c>
      <c r="U103" t="s">
        <v>38</v>
      </c>
      <c r="V103" t="s">
        <v>39</v>
      </c>
      <c r="W103">
        <v>1</v>
      </c>
      <c r="X103">
        <v>0</v>
      </c>
      <c r="Y103" t="b">
        <v>0</v>
      </c>
      <c r="Z103" t="s">
        <v>376</v>
      </c>
      <c r="AA103" t="s">
        <v>41</v>
      </c>
      <c r="AB103" s="1">
        <v>42765.958333333336</v>
      </c>
      <c r="AC103" t="s">
        <v>42</v>
      </c>
      <c r="AD103" t="s">
        <v>43</v>
      </c>
      <c r="AE103" t="s">
        <v>253</v>
      </c>
    </row>
    <row r="104" spans="1:31" x14ac:dyDescent="0.3">
      <c r="A104">
        <v>96895</v>
      </c>
      <c r="B104" t="s">
        <v>377</v>
      </c>
      <c r="C104" t="s">
        <v>184</v>
      </c>
      <c r="E104" t="s">
        <v>371</v>
      </c>
      <c r="F104" t="s">
        <v>372</v>
      </c>
      <c r="G104" t="s">
        <v>373</v>
      </c>
      <c r="H104" t="s">
        <v>373</v>
      </c>
      <c r="I104" t="s">
        <v>378</v>
      </c>
      <c r="J104" t="s">
        <v>33</v>
      </c>
      <c r="K104" t="s">
        <v>33</v>
      </c>
      <c r="L104" t="s">
        <v>591</v>
      </c>
      <c r="M104" cm="1">
        <f t="array" ref="M104">Convert_Decimal(L104)</f>
        <v>41.964166666666664</v>
      </c>
      <c r="N104" t="s">
        <v>379</v>
      </c>
      <c r="P104">
        <v>638</v>
      </c>
      <c r="R104" s="1">
        <v>42133.916666666664</v>
      </c>
      <c r="S104" t="s">
        <v>36</v>
      </c>
      <c r="T104" t="s">
        <v>37</v>
      </c>
      <c r="U104" t="s">
        <v>38</v>
      </c>
      <c r="V104" t="s">
        <v>39</v>
      </c>
      <c r="W104">
        <v>1</v>
      </c>
      <c r="X104">
        <v>0</v>
      </c>
      <c r="Y104" t="b">
        <v>0</v>
      </c>
      <c r="Z104" t="s">
        <v>380</v>
      </c>
      <c r="AA104" t="s">
        <v>41</v>
      </c>
      <c r="AB104" s="1">
        <v>42765.958333333336</v>
      </c>
      <c r="AC104" t="s">
        <v>42</v>
      </c>
      <c r="AD104" t="s">
        <v>43</v>
      </c>
      <c r="AE104" t="s">
        <v>253</v>
      </c>
    </row>
    <row r="105" spans="1:31" x14ac:dyDescent="0.3">
      <c r="A105">
        <v>96912</v>
      </c>
      <c r="B105" t="s">
        <v>381</v>
      </c>
      <c r="C105" t="s">
        <v>184</v>
      </c>
      <c r="E105" t="s">
        <v>371</v>
      </c>
      <c r="F105" t="s">
        <v>372</v>
      </c>
      <c r="G105" t="s">
        <v>373</v>
      </c>
      <c r="H105" t="s">
        <v>373</v>
      </c>
      <c r="I105" t="s">
        <v>382</v>
      </c>
      <c r="J105" t="s">
        <v>33</v>
      </c>
      <c r="K105" t="s">
        <v>33</v>
      </c>
      <c r="L105" t="s">
        <v>592</v>
      </c>
      <c r="M105" cm="1">
        <f t="array" ref="M105">Convert_Decimal(L105)</f>
        <v>41.853611111111114</v>
      </c>
      <c r="N105" t="s">
        <v>383</v>
      </c>
      <c r="P105">
        <v>983</v>
      </c>
      <c r="R105" s="1">
        <v>41891.916666666664</v>
      </c>
      <c r="S105" t="s">
        <v>36</v>
      </c>
      <c r="T105" t="s">
        <v>37</v>
      </c>
      <c r="U105" t="s">
        <v>38</v>
      </c>
      <c r="V105" t="s">
        <v>39</v>
      </c>
      <c r="W105">
        <v>2</v>
      </c>
      <c r="X105">
        <v>1</v>
      </c>
      <c r="Y105" t="b">
        <v>0</v>
      </c>
      <c r="Z105" t="s">
        <v>384</v>
      </c>
      <c r="AA105" t="s">
        <v>41</v>
      </c>
      <c r="AB105" s="1">
        <v>42765.958333333336</v>
      </c>
      <c r="AC105" t="s">
        <v>42</v>
      </c>
      <c r="AD105" t="s">
        <v>43</v>
      </c>
      <c r="AE105" t="s">
        <v>253</v>
      </c>
    </row>
    <row r="106" spans="1:31" x14ac:dyDescent="0.3">
      <c r="A106">
        <v>98103</v>
      </c>
      <c r="B106" t="s">
        <v>385</v>
      </c>
      <c r="C106" t="s">
        <v>184</v>
      </c>
      <c r="E106" t="s">
        <v>371</v>
      </c>
      <c r="F106" t="s">
        <v>372</v>
      </c>
      <c r="G106" t="s">
        <v>373</v>
      </c>
      <c r="H106" t="s">
        <v>386</v>
      </c>
      <c r="I106" t="s">
        <v>387</v>
      </c>
      <c r="J106" t="s">
        <v>388</v>
      </c>
      <c r="K106" t="s">
        <v>33</v>
      </c>
      <c r="L106" t="s">
        <v>593</v>
      </c>
      <c r="M106" cm="1">
        <f t="array" ref="M106">Convert_Decimal(L106)</f>
        <v>41.650555555555556</v>
      </c>
      <c r="N106" t="s">
        <v>389</v>
      </c>
      <c r="P106">
        <v>552</v>
      </c>
      <c r="R106" s="1">
        <v>42094.916666666664</v>
      </c>
      <c r="S106" t="s">
        <v>36</v>
      </c>
      <c r="T106" t="s">
        <v>259</v>
      </c>
      <c r="U106" t="s">
        <v>38</v>
      </c>
      <c r="V106" t="s">
        <v>39</v>
      </c>
      <c r="W106">
        <v>0</v>
      </c>
      <c r="X106">
        <v>1</v>
      </c>
      <c r="Y106" t="b">
        <v>1</v>
      </c>
      <c r="Z106" t="s">
        <v>260</v>
      </c>
      <c r="AA106" t="s">
        <v>41</v>
      </c>
      <c r="AB106" s="1">
        <v>42765.958333333336</v>
      </c>
      <c r="AC106" t="s">
        <v>42</v>
      </c>
      <c r="AD106" t="s">
        <v>43</v>
      </c>
    </row>
    <row r="107" spans="1:31" x14ac:dyDescent="0.3">
      <c r="A107">
        <v>96923</v>
      </c>
      <c r="B107" t="s">
        <v>390</v>
      </c>
      <c r="C107" t="s">
        <v>184</v>
      </c>
      <c r="E107" t="s">
        <v>371</v>
      </c>
      <c r="F107" t="s">
        <v>372</v>
      </c>
      <c r="G107" t="s">
        <v>373</v>
      </c>
      <c r="H107" t="s">
        <v>386</v>
      </c>
      <c r="I107" t="s">
        <v>391</v>
      </c>
      <c r="J107" t="s">
        <v>33</v>
      </c>
      <c r="K107" t="s">
        <v>33</v>
      </c>
      <c r="L107" t="s">
        <v>594</v>
      </c>
      <c r="M107" cm="1">
        <f t="array" ref="M107">Convert_Decimal(L107)</f>
        <v>41.499444444444443</v>
      </c>
      <c r="N107" t="s">
        <v>392</v>
      </c>
      <c r="P107">
        <v>603</v>
      </c>
      <c r="R107" s="1">
        <v>42282.916666666664</v>
      </c>
      <c r="S107" t="s">
        <v>36</v>
      </c>
      <c r="T107" t="s">
        <v>37</v>
      </c>
      <c r="U107" t="s">
        <v>38</v>
      </c>
      <c r="V107" t="s">
        <v>39</v>
      </c>
      <c r="W107">
        <v>2</v>
      </c>
      <c r="X107">
        <v>0</v>
      </c>
      <c r="Y107" t="b">
        <v>0</v>
      </c>
      <c r="Z107" t="s">
        <v>393</v>
      </c>
      <c r="AA107" t="s">
        <v>41</v>
      </c>
      <c r="AB107" s="1">
        <v>42765.958333333336</v>
      </c>
      <c r="AC107" t="s">
        <v>42</v>
      </c>
      <c r="AD107" t="s">
        <v>43</v>
      </c>
      <c r="AE107" t="s">
        <v>253</v>
      </c>
    </row>
    <row r="108" spans="1:31" x14ac:dyDescent="0.3">
      <c r="A108">
        <v>97717</v>
      </c>
      <c r="B108" t="s">
        <v>394</v>
      </c>
      <c r="C108" t="s">
        <v>184</v>
      </c>
      <c r="E108" t="s">
        <v>371</v>
      </c>
      <c r="F108" t="s">
        <v>372</v>
      </c>
      <c r="G108" t="s">
        <v>373</v>
      </c>
      <c r="H108" t="s">
        <v>386</v>
      </c>
      <c r="I108" t="s">
        <v>391</v>
      </c>
      <c r="J108" t="s">
        <v>33</v>
      </c>
      <c r="K108" t="s">
        <v>33</v>
      </c>
      <c r="L108" t="s">
        <v>594</v>
      </c>
      <c r="M108" cm="1">
        <f t="array" ref="M108">Convert_Decimal(L108)</f>
        <v>41.499444444444443</v>
      </c>
      <c r="N108" t="s">
        <v>392</v>
      </c>
      <c r="P108">
        <v>603</v>
      </c>
      <c r="R108" s="1">
        <v>42523.916666666664</v>
      </c>
      <c r="S108" t="s">
        <v>36</v>
      </c>
      <c r="T108" t="s">
        <v>37</v>
      </c>
      <c r="U108" t="s">
        <v>38</v>
      </c>
      <c r="V108" t="s">
        <v>39</v>
      </c>
      <c r="W108">
        <v>1</v>
      </c>
      <c r="X108">
        <v>0</v>
      </c>
      <c r="Y108" t="b">
        <v>0</v>
      </c>
      <c r="Z108" t="s">
        <v>395</v>
      </c>
      <c r="AA108" t="s">
        <v>41</v>
      </c>
      <c r="AB108" s="1">
        <v>42765.958333333336</v>
      </c>
      <c r="AC108" t="s">
        <v>42</v>
      </c>
      <c r="AD108" t="s">
        <v>43</v>
      </c>
      <c r="AE108" t="s">
        <v>253</v>
      </c>
    </row>
    <row r="109" spans="1:31" x14ac:dyDescent="0.3">
      <c r="A109">
        <v>96931</v>
      </c>
      <c r="B109" t="s">
        <v>396</v>
      </c>
      <c r="C109" t="s">
        <v>184</v>
      </c>
      <c r="E109" t="s">
        <v>371</v>
      </c>
      <c r="F109" t="s">
        <v>372</v>
      </c>
      <c r="G109" t="s">
        <v>373</v>
      </c>
      <c r="H109" t="s">
        <v>397</v>
      </c>
      <c r="I109" t="s">
        <v>398</v>
      </c>
      <c r="J109" t="s">
        <v>33</v>
      </c>
      <c r="K109" t="s">
        <v>33</v>
      </c>
      <c r="L109" t="s">
        <v>595</v>
      </c>
      <c r="M109" cm="1">
        <f t="array" ref="M109">Convert_Decimal(L109)</f>
        <v>41.320555555555558</v>
      </c>
      <c r="N109" t="s">
        <v>399</v>
      </c>
      <c r="P109">
        <v>222</v>
      </c>
      <c r="R109" s="1">
        <v>42171.916666666664</v>
      </c>
      <c r="S109" t="s">
        <v>36</v>
      </c>
      <c r="T109" t="s">
        <v>37</v>
      </c>
      <c r="U109" t="s">
        <v>38</v>
      </c>
      <c r="V109" t="s">
        <v>39</v>
      </c>
      <c r="W109">
        <v>1</v>
      </c>
      <c r="X109">
        <v>0</v>
      </c>
      <c r="Y109" t="b">
        <v>0</v>
      </c>
      <c r="Z109" t="s">
        <v>400</v>
      </c>
      <c r="AA109" t="s">
        <v>41</v>
      </c>
      <c r="AB109" s="1">
        <v>42765.958333333336</v>
      </c>
      <c r="AC109" t="s">
        <v>42</v>
      </c>
      <c r="AD109" t="s">
        <v>43</v>
      </c>
      <c r="AE109" t="s">
        <v>253</v>
      </c>
    </row>
    <row r="110" spans="1:31" x14ac:dyDescent="0.3">
      <c r="A110">
        <v>97763</v>
      </c>
      <c r="B110" t="s">
        <v>401</v>
      </c>
      <c r="C110" t="s">
        <v>184</v>
      </c>
      <c r="E110" t="s">
        <v>371</v>
      </c>
      <c r="F110" t="s">
        <v>372</v>
      </c>
      <c r="G110" t="s">
        <v>373</v>
      </c>
      <c r="H110" t="s">
        <v>402</v>
      </c>
      <c r="I110" t="s">
        <v>403</v>
      </c>
      <c r="J110" t="s">
        <v>404</v>
      </c>
      <c r="K110" t="s">
        <v>33</v>
      </c>
      <c r="L110" t="s">
        <v>596</v>
      </c>
      <c r="M110" cm="1">
        <f t="array" ref="M110">Convert_Decimal(L110)</f>
        <v>41.38</v>
      </c>
      <c r="N110" t="s">
        <v>405</v>
      </c>
      <c r="P110">
        <v>449</v>
      </c>
      <c r="R110" s="1">
        <v>42521.916666666664</v>
      </c>
      <c r="S110" t="s">
        <v>36</v>
      </c>
      <c r="T110" t="s">
        <v>37</v>
      </c>
      <c r="U110" t="s">
        <v>38</v>
      </c>
      <c r="V110" t="s">
        <v>39</v>
      </c>
      <c r="W110">
        <v>1</v>
      </c>
      <c r="X110">
        <v>0</v>
      </c>
      <c r="Y110" t="b">
        <v>0</v>
      </c>
      <c r="Z110" t="s">
        <v>406</v>
      </c>
      <c r="AA110" t="s">
        <v>41</v>
      </c>
      <c r="AB110" s="1">
        <v>42765.958333333336</v>
      </c>
      <c r="AC110" t="s">
        <v>42</v>
      </c>
      <c r="AD110" t="s">
        <v>43</v>
      </c>
      <c r="AE110" t="s">
        <v>253</v>
      </c>
    </row>
    <row r="111" spans="1:31" x14ac:dyDescent="0.3">
      <c r="A111">
        <v>96952</v>
      </c>
      <c r="B111" t="s">
        <v>407</v>
      </c>
      <c r="C111" t="s">
        <v>184</v>
      </c>
      <c r="E111" t="s">
        <v>371</v>
      </c>
      <c r="F111" t="s">
        <v>372</v>
      </c>
      <c r="G111" t="s">
        <v>373</v>
      </c>
      <c r="H111" t="s">
        <v>408</v>
      </c>
      <c r="I111" t="s">
        <v>409</v>
      </c>
      <c r="J111" t="s">
        <v>33</v>
      </c>
      <c r="K111" t="s">
        <v>33</v>
      </c>
      <c r="L111" t="s">
        <v>597</v>
      </c>
      <c r="M111" cm="1">
        <f t="array" ref="M111">Convert_Decimal(L111)</f>
        <v>41.498888888888892</v>
      </c>
      <c r="N111" t="s">
        <v>410</v>
      </c>
      <c r="P111">
        <v>341</v>
      </c>
      <c r="R111" s="1">
        <v>42170.916666666664</v>
      </c>
      <c r="S111" t="s">
        <v>36</v>
      </c>
      <c r="T111" t="s">
        <v>37</v>
      </c>
      <c r="U111" t="s">
        <v>38</v>
      </c>
      <c r="V111" t="s">
        <v>39</v>
      </c>
      <c r="W111">
        <v>0</v>
      </c>
      <c r="X111">
        <v>2</v>
      </c>
      <c r="Y111" t="b">
        <v>0</v>
      </c>
      <c r="Z111" t="s">
        <v>260</v>
      </c>
      <c r="AA111" t="s">
        <v>41</v>
      </c>
      <c r="AB111" s="1">
        <v>42765.958333333336</v>
      </c>
      <c r="AC111" t="s">
        <v>42</v>
      </c>
      <c r="AD111" t="s">
        <v>43</v>
      </c>
      <c r="AE111" t="s">
        <v>411</v>
      </c>
    </row>
    <row r="112" spans="1:31" x14ac:dyDescent="0.3">
      <c r="A112">
        <v>98022</v>
      </c>
      <c r="B112" t="s">
        <v>412</v>
      </c>
      <c r="C112" t="s">
        <v>184</v>
      </c>
      <c r="E112" t="s">
        <v>371</v>
      </c>
      <c r="F112" t="s">
        <v>372</v>
      </c>
      <c r="G112" t="s">
        <v>373</v>
      </c>
      <c r="H112" t="s">
        <v>408</v>
      </c>
      <c r="I112" t="s">
        <v>409</v>
      </c>
      <c r="J112" t="s">
        <v>413</v>
      </c>
      <c r="K112" t="s">
        <v>33</v>
      </c>
      <c r="L112" t="s">
        <v>598</v>
      </c>
      <c r="M112" cm="1">
        <f t="array" ref="M112">Convert_Decimal(L112)</f>
        <v>41.628888888888888</v>
      </c>
      <c r="N112" t="s">
        <v>414</v>
      </c>
      <c r="P112">
        <v>575</v>
      </c>
      <c r="R112" s="1">
        <v>42281.916666666664</v>
      </c>
      <c r="S112" t="s">
        <v>36</v>
      </c>
      <c r="T112" t="s">
        <v>61</v>
      </c>
      <c r="U112" t="s">
        <v>38</v>
      </c>
      <c r="V112" t="s">
        <v>39</v>
      </c>
      <c r="W112">
        <v>1</v>
      </c>
      <c r="X112">
        <v>0</v>
      </c>
      <c r="Y112" t="b">
        <v>0</v>
      </c>
      <c r="Z112" t="s">
        <v>415</v>
      </c>
      <c r="AA112" t="s">
        <v>41</v>
      </c>
      <c r="AB112" s="1">
        <v>42765.958333333336</v>
      </c>
      <c r="AC112" t="s">
        <v>42</v>
      </c>
      <c r="AD112" t="s">
        <v>43</v>
      </c>
      <c r="AE112" t="s">
        <v>253</v>
      </c>
    </row>
    <row r="113" spans="1:31" x14ac:dyDescent="0.3">
      <c r="A113">
        <v>96960</v>
      </c>
      <c r="B113" t="s">
        <v>416</v>
      </c>
      <c r="C113" t="s">
        <v>184</v>
      </c>
      <c r="E113" t="s">
        <v>371</v>
      </c>
      <c r="F113" t="s">
        <v>372</v>
      </c>
      <c r="G113" t="s">
        <v>373</v>
      </c>
      <c r="H113" t="s">
        <v>408</v>
      </c>
      <c r="I113" t="s">
        <v>409</v>
      </c>
      <c r="J113" t="s">
        <v>413</v>
      </c>
      <c r="K113" t="s">
        <v>33</v>
      </c>
      <c r="L113" t="s">
        <v>598</v>
      </c>
      <c r="M113" cm="1">
        <f t="array" ref="M113">Convert_Decimal(L113)</f>
        <v>41.628888888888888</v>
      </c>
      <c r="N113" t="s">
        <v>414</v>
      </c>
      <c r="P113">
        <v>575</v>
      </c>
      <c r="R113" s="1">
        <v>42282.916666666664</v>
      </c>
      <c r="S113" t="s">
        <v>36</v>
      </c>
      <c r="T113" t="s">
        <v>61</v>
      </c>
      <c r="U113" t="s">
        <v>38</v>
      </c>
      <c r="V113" t="s">
        <v>39</v>
      </c>
      <c r="W113">
        <v>1</v>
      </c>
      <c r="X113">
        <v>1</v>
      </c>
      <c r="Y113" t="b">
        <v>0</v>
      </c>
      <c r="Z113" t="s">
        <v>417</v>
      </c>
      <c r="AA113" t="s">
        <v>41</v>
      </c>
      <c r="AB113" s="1">
        <v>42765.958333333336</v>
      </c>
      <c r="AC113" t="s">
        <v>42</v>
      </c>
      <c r="AD113" t="s">
        <v>43</v>
      </c>
      <c r="AE113" t="s">
        <v>253</v>
      </c>
    </row>
    <row r="114" spans="1:31" x14ac:dyDescent="0.3">
      <c r="A114">
        <v>97666</v>
      </c>
      <c r="B114" t="s">
        <v>418</v>
      </c>
      <c r="C114" t="s">
        <v>184</v>
      </c>
      <c r="E114" t="s">
        <v>371</v>
      </c>
      <c r="F114" t="s">
        <v>419</v>
      </c>
      <c r="G114" t="s">
        <v>420</v>
      </c>
      <c r="H114" t="s">
        <v>421</v>
      </c>
      <c r="I114" t="s">
        <v>422</v>
      </c>
      <c r="J114" t="s">
        <v>423</v>
      </c>
      <c r="K114" t="s">
        <v>33</v>
      </c>
      <c r="L114" t="s">
        <v>599</v>
      </c>
      <c r="M114" cm="1">
        <f t="array" ref="M114">Convert_Decimal(L114)</f>
        <v>41.488888888888887</v>
      </c>
      <c r="N114" t="s">
        <v>424</v>
      </c>
      <c r="P114">
        <v>750</v>
      </c>
      <c r="R114" s="1">
        <v>41449.916666666664</v>
      </c>
      <c r="S114" t="s">
        <v>36</v>
      </c>
      <c r="T114" t="s">
        <v>37</v>
      </c>
      <c r="U114" t="s">
        <v>38</v>
      </c>
      <c r="V114" t="s">
        <v>39</v>
      </c>
      <c r="W114">
        <v>0</v>
      </c>
      <c r="X114">
        <v>1</v>
      </c>
      <c r="Y114" t="b">
        <v>0</v>
      </c>
      <c r="Z114" t="s">
        <v>260</v>
      </c>
      <c r="AA114" t="s">
        <v>41</v>
      </c>
      <c r="AB114" s="1">
        <v>42765.958333333336</v>
      </c>
      <c r="AC114" t="s">
        <v>42</v>
      </c>
      <c r="AD114" t="s">
        <v>43</v>
      </c>
      <c r="AE114" t="s">
        <v>253</v>
      </c>
    </row>
    <row r="115" spans="1:31" x14ac:dyDescent="0.3">
      <c r="A115">
        <v>97677</v>
      </c>
      <c r="B115" t="s">
        <v>425</v>
      </c>
      <c r="C115" t="s">
        <v>184</v>
      </c>
      <c r="E115" t="s">
        <v>371</v>
      </c>
      <c r="F115" t="s">
        <v>419</v>
      </c>
      <c r="G115" t="s">
        <v>420</v>
      </c>
      <c r="H115" t="s">
        <v>426</v>
      </c>
      <c r="I115" t="s">
        <v>427</v>
      </c>
      <c r="J115" t="s">
        <v>33</v>
      </c>
      <c r="K115" t="s">
        <v>33</v>
      </c>
      <c r="L115" t="s">
        <v>600</v>
      </c>
      <c r="M115" cm="1">
        <f t="array" ref="M115">Convert_Decimal(L115)</f>
        <v>41.951944444444443</v>
      </c>
      <c r="N115" t="s">
        <v>428</v>
      </c>
      <c r="P115">
        <v>965</v>
      </c>
      <c r="R115" s="1">
        <v>41161.916666666664</v>
      </c>
      <c r="S115" t="s">
        <v>36</v>
      </c>
      <c r="T115" t="s">
        <v>37</v>
      </c>
      <c r="U115" t="s">
        <v>38</v>
      </c>
      <c r="V115" t="s">
        <v>39</v>
      </c>
      <c r="W115">
        <v>2</v>
      </c>
      <c r="X115">
        <v>1</v>
      </c>
      <c r="Y115" t="b">
        <v>0</v>
      </c>
      <c r="Z115" t="s">
        <v>429</v>
      </c>
      <c r="AA115" t="s">
        <v>41</v>
      </c>
      <c r="AB115" s="1">
        <v>42765.958333333336</v>
      </c>
      <c r="AC115" t="s">
        <v>42</v>
      </c>
      <c r="AD115" t="s">
        <v>43</v>
      </c>
      <c r="AE115" t="s">
        <v>253</v>
      </c>
    </row>
    <row r="116" spans="1:31" x14ac:dyDescent="0.3">
      <c r="A116">
        <v>120878</v>
      </c>
      <c r="B116" t="s">
        <v>430</v>
      </c>
      <c r="C116" t="s">
        <v>109</v>
      </c>
      <c r="D116" t="s">
        <v>110</v>
      </c>
      <c r="E116" t="s">
        <v>111</v>
      </c>
      <c r="I116" t="s">
        <v>156</v>
      </c>
      <c r="J116" t="s">
        <v>113</v>
      </c>
      <c r="K116" t="s">
        <v>157</v>
      </c>
      <c r="L116" t="s">
        <v>601</v>
      </c>
      <c r="M116" cm="1">
        <f t="array" ref="M116">Convert_Decimal(L116)</f>
        <v>45.905000000000001</v>
      </c>
      <c r="N116" t="s">
        <v>431</v>
      </c>
      <c r="P116">
        <v>947</v>
      </c>
      <c r="Q116" s="1">
        <v>43642.916666666664</v>
      </c>
      <c r="R116" s="1">
        <v>43656.916666666664</v>
      </c>
      <c r="S116" t="s">
        <v>116</v>
      </c>
      <c r="T116" t="s">
        <v>117</v>
      </c>
      <c r="U116" t="s">
        <v>432</v>
      </c>
      <c r="V116" t="s">
        <v>433</v>
      </c>
      <c r="W116">
        <v>1</v>
      </c>
      <c r="X116">
        <v>0</v>
      </c>
      <c r="Y116" t="b">
        <v>0</v>
      </c>
      <c r="Z116" t="s">
        <v>434</v>
      </c>
      <c r="AA116" t="s">
        <v>41</v>
      </c>
      <c r="AB116" s="1">
        <v>44171.958333333336</v>
      </c>
      <c r="AC116" t="s">
        <v>42</v>
      </c>
      <c r="AD116" t="s">
        <v>43</v>
      </c>
      <c r="AE116" t="s">
        <v>435</v>
      </c>
    </row>
    <row r="117" spans="1:31" x14ac:dyDescent="0.3">
      <c r="A117">
        <v>120788</v>
      </c>
      <c r="B117" t="s">
        <v>164</v>
      </c>
      <c r="C117" t="s">
        <v>109</v>
      </c>
      <c r="D117" t="s">
        <v>110</v>
      </c>
      <c r="E117" t="s">
        <v>111</v>
      </c>
      <c r="I117" t="s">
        <v>156</v>
      </c>
      <c r="J117" t="s">
        <v>113</v>
      </c>
      <c r="K117" t="s">
        <v>157</v>
      </c>
      <c r="L117" t="s">
        <v>558</v>
      </c>
      <c r="M117" cm="1">
        <f t="array" ref="M117">Convert_Decimal(L117)</f>
        <v>73.768333333333331</v>
      </c>
      <c r="N117" t="s">
        <v>162</v>
      </c>
      <c r="P117">
        <v>936</v>
      </c>
      <c r="Q117" s="1">
        <v>43642.916666666664</v>
      </c>
      <c r="R117" s="1">
        <v>43656.916666666664</v>
      </c>
      <c r="S117" t="s">
        <v>116</v>
      </c>
      <c r="T117" t="s">
        <v>117</v>
      </c>
      <c r="U117" t="s">
        <v>432</v>
      </c>
      <c r="V117" t="s">
        <v>433</v>
      </c>
      <c r="W117">
        <v>1</v>
      </c>
      <c r="X117">
        <v>0</v>
      </c>
      <c r="Y117" t="b">
        <v>0</v>
      </c>
      <c r="Z117" t="s">
        <v>434</v>
      </c>
      <c r="AA117" t="s">
        <v>41</v>
      </c>
      <c r="AB117" s="1">
        <v>44171.958333333336</v>
      </c>
      <c r="AC117" t="s">
        <v>42</v>
      </c>
      <c r="AD117" t="s">
        <v>43</v>
      </c>
      <c r="AE117" t="s">
        <v>436</v>
      </c>
    </row>
    <row r="118" spans="1:31" x14ac:dyDescent="0.3">
      <c r="A118">
        <v>120828</v>
      </c>
      <c r="B118" t="s">
        <v>437</v>
      </c>
      <c r="C118" t="s">
        <v>109</v>
      </c>
      <c r="D118" t="s">
        <v>110</v>
      </c>
      <c r="E118" t="s">
        <v>111</v>
      </c>
      <c r="I118" t="s">
        <v>156</v>
      </c>
      <c r="J118" t="s">
        <v>113</v>
      </c>
      <c r="K118" t="s">
        <v>157</v>
      </c>
      <c r="L118" t="s">
        <v>558</v>
      </c>
      <c r="M118" cm="1">
        <f t="array" ref="M118">Convert_Decimal(L118)</f>
        <v>73.768333333333331</v>
      </c>
      <c r="N118" t="s">
        <v>162</v>
      </c>
      <c r="P118">
        <v>936</v>
      </c>
      <c r="Q118" s="1">
        <v>43656.916666666664</v>
      </c>
      <c r="R118" s="1">
        <v>43670.916666666664</v>
      </c>
      <c r="S118" t="s">
        <v>116</v>
      </c>
      <c r="T118" t="s">
        <v>117</v>
      </c>
      <c r="U118" t="s">
        <v>432</v>
      </c>
      <c r="V118" t="s">
        <v>433</v>
      </c>
      <c r="W118">
        <v>1</v>
      </c>
      <c r="X118">
        <v>0</v>
      </c>
      <c r="Y118" t="b">
        <v>0</v>
      </c>
      <c r="Z118" t="s">
        <v>434</v>
      </c>
      <c r="AA118" t="s">
        <v>41</v>
      </c>
      <c r="AB118" s="1">
        <v>44171.958333333336</v>
      </c>
      <c r="AC118" t="s">
        <v>42</v>
      </c>
      <c r="AD118" t="s">
        <v>43</v>
      </c>
      <c r="AE118" t="s">
        <v>435</v>
      </c>
    </row>
    <row r="119" spans="1:31" x14ac:dyDescent="0.3">
      <c r="A119">
        <v>117682</v>
      </c>
      <c r="B119" t="s">
        <v>29</v>
      </c>
      <c r="C119" t="s">
        <v>30</v>
      </c>
      <c r="D119" t="s">
        <v>31</v>
      </c>
      <c r="E119" t="s">
        <v>32</v>
      </c>
      <c r="H119" t="s">
        <v>33</v>
      </c>
      <c r="I119" t="s">
        <v>34</v>
      </c>
      <c r="J119" t="s">
        <v>33</v>
      </c>
      <c r="K119" t="s">
        <v>33</v>
      </c>
      <c r="L119" t="s">
        <v>537</v>
      </c>
      <c r="M119" cm="1">
        <f t="array" ref="M119">Convert_Decimal(L119)</f>
        <v>41.613055555555555</v>
      </c>
      <c r="N119" t="s">
        <v>35</v>
      </c>
      <c r="P119">
        <v>340</v>
      </c>
      <c r="R119" s="1">
        <v>42137.916666666664</v>
      </c>
      <c r="S119" t="s">
        <v>36</v>
      </c>
      <c r="T119" t="s">
        <v>37</v>
      </c>
      <c r="U119" t="s">
        <v>438</v>
      </c>
      <c r="V119" t="s">
        <v>439</v>
      </c>
      <c r="W119">
        <v>4</v>
      </c>
      <c r="X119">
        <v>2</v>
      </c>
      <c r="Y119" t="b">
        <v>0</v>
      </c>
      <c r="Z119" t="s">
        <v>440</v>
      </c>
      <c r="AA119" t="s">
        <v>41</v>
      </c>
      <c r="AB119" s="1">
        <v>44054.916666666664</v>
      </c>
      <c r="AC119" t="s">
        <v>42</v>
      </c>
      <c r="AD119" t="s">
        <v>43</v>
      </c>
      <c r="AE119" t="s">
        <v>441</v>
      </c>
    </row>
    <row r="120" spans="1:31" x14ac:dyDescent="0.3">
      <c r="A120">
        <v>117649</v>
      </c>
      <c r="B120" t="s">
        <v>442</v>
      </c>
      <c r="C120" t="s">
        <v>30</v>
      </c>
      <c r="D120" t="s">
        <v>56</v>
      </c>
      <c r="E120" t="s">
        <v>57</v>
      </c>
      <c r="H120" t="s">
        <v>33</v>
      </c>
      <c r="I120" t="s">
        <v>443</v>
      </c>
      <c r="J120" t="s">
        <v>444</v>
      </c>
      <c r="K120" t="s">
        <v>33</v>
      </c>
      <c r="L120" t="s">
        <v>602</v>
      </c>
      <c r="M120" cm="1">
        <f t="array" ref="M120">Convert_Decimal(L120)</f>
        <v>42.412222222222219</v>
      </c>
      <c r="N120" t="s">
        <v>445</v>
      </c>
      <c r="P120">
        <v>1265</v>
      </c>
      <c r="R120" s="1">
        <v>41855.916666666664</v>
      </c>
      <c r="S120" t="s">
        <v>36</v>
      </c>
      <c r="T120" t="s">
        <v>259</v>
      </c>
      <c r="U120" t="s">
        <v>438</v>
      </c>
      <c r="V120" t="s">
        <v>439</v>
      </c>
      <c r="W120">
        <v>2</v>
      </c>
      <c r="X120">
        <v>0</v>
      </c>
      <c r="Y120" t="b">
        <v>0</v>
      </c>
      <c r="Z120" t="s">
        <v>440</v>
      </c>
      <c r="AA120" t="s">
        <v>41</v>
      </c>
      <c r="AB120" s="1">
        <v>44054.916666666664</v>
      </c>
      <c r="AC120" t="s">
        <v>42</v>
      </c>
      <c r="AD120" t="s">
        <v>43</v>
      </c>
      <c r="AE120" t="s">
        <v>441</v>
      </c>
    </row>
    <row r="121" spans="1:31" x14ac:dyDescent="0.3">
      <c r="A121">
        <v>118194</v>
      </c>
      <c r="B121" t="s">
        <v>446</v>
      </c>
      <c r="C121" t="s">
        <v>30</v>
      </c>
      <c r="D121" t="s">
        <v>78</v>
      </c>
      <c r="E121" t="s">
        <v>79</v>
      </c>
      <c r="H121" t="s">
        <v>447</v>
      </c>
      <c r="I121" t="s">
        <v>91</v>
      </c>
      <c r="J121" t="s">
        <v>33</v>
      </c>
      <c r="L121" t="s">
        <v>603</v>
      </c>
      <c r="M121" t="e" cm="1">
        <f t="array" ref="M121">Convert_Decimal(L121)</f>
        <v>#VALUE!</v>
      </c>
      <c r="N121" t="s">
        <v>448</v>
      </c>
      <c r="P121">
        <v>1030</v>
      </c>
      <c r="R121" s="1">
        <v>39703.916666666664</v>
      </c>
      <c r="S121" t="s">
        <v>36</v>
      </c>
      <c r="T121" t="s">
        <v>87</v>
      </c>
      <c r="U121" t="s">
        <v>449</v>
      </c>
      <c r="V121" t="s">
        <v>450</v>
      </c>
      <c r="W121">
        <v>1</v>
      </c>
      <c r="X121">
        <v>0</v>
      </c>
      <c r="Y121" t="b">
        <v>0</v>
      </c>
      <c r="Z121" t="s">
        <v>451</v>
      </c>
      <c r="AA121" t="s">
        <v>41</v>
      </c>
      <c r="AB121" s="1">
        <v>44051.916666666664</v>
      </c>
      <c r="AC121" t="s">
        <v>42</v>
      </c>
      <c r="AD121" t="s">
        <v>43</v>
      </c>
    </row>
    <row r="122" spans="1:31" x14ac:dyDescent="0.3">
      <c r="A122">
        <v>97362</v>
      </c>
      <c r="B122" t="s">
        <v>452</v>
      </c>
      <c r="C122" t="s">
        <v>184</v>
      </c>
      <c r="E122" t="s">
        <v>238</v>
      </c>
      <c r="F122" t="s">
        <v>239</v>
      </c>
      <c r="G122" t="s">
        <v>240</v>
      </c>
      <c r="H122" t="s">
        <v>241</v>
      </c>
      <c r="I122" t="s">
        <v>242</v>
      </c>
      <c r="J122" t="s">
        <v>33</v>
      </c>
      <c r="K122" t="s">
        <v>33</v>
      </c>
      <c r="L122" t="s">
        <v>573</v>
      </c>
      <c r="M122" cm="1">
        <f t="array" ref="M122">Convert_Decimal(L122)</f>
        <v>39.520000000000003</v>
      </c>
      <c r="N122" t="s">
        <v>243</v>
      </c>
      <c r="P122">
        <v>610</v>
      </c>
      <c r="R122" s="1">
        <v>41902.916666666664</v>
      </c>
      <c r="S122" t="s">
        <v>36</v>
      </c>
      <c r="T122" t="s">
        <v>259</v>
      </c>
      <c r="U122" t="s">
        <v>449</v>
      </c>
      <c r="V122" t="s">
        <v>450</v>
      </c>
      <c r="W122">
        <v>8</v>
      </c>
      <c r="X122">
        <v>0</v>
      </c>
      <c r="Y122" t="b">
        <v>0</v>
      </c>
      <c r="Z122" t="s">
        <v>453</v>
      </c>
      <c r="AA122" t="s">
        <v>41</v>
      </c>
      <c r="AB122" s="1">
        <v>42765.958333333336</v>
      </c>
      <c r="AC122" t="s">
        <v>42</v>
      </c>
      <c r="AD122" t="s">
        <v>43</v>
      </c>
      <c r="AE122" t="s">
        <v>253</v>
      </c>
    </row>
    <row r="123" spans="1:31" x14ac:dyDescent="0.3">
      <c r="A123">
        <v>97178</v>
      </c>
      <c r="B123" t="s">
        <v>454</v>
      </c>
      <c r="C123" t="s">
        <v>184</v>
      </c>
      <c r="E123" t="s">
        <v>246</v>
      </c>
      <c r="F123" t="s">
        <v>247</v>
      </c>
      <c r="G123" t="s">
        <v>248</v>
      </c>
      <c r="H123" t="s">
        <v>248</v>
      </c>
      <c r="I123" t="s">
        <v>455</v>
      </c>
      <c r="J123" t="s">
        <v>33</v>
      </c>
      <c r="K123" t="s">
        <v>33</v>
      </c>
      <c r="L123" t="s">
        <v>604</v>
      </c>
      <c r="M123" cm="1">
        <f t="array" ref="M123">Convert_Decimal(L123)</f>
        <v>40.586388888888891</v>
      </c>
      <c r="N123" t="s">
        <v>456</v>
      </c>
      <c r="P123">
        <v>751</v>
      </c>
      <c r="R123" s="1">
        <v>41538.916666666664</v>
      </c>
      <c r="S123" t="s">
        <v>36</v>
      </c>
      <c r="T123" t="s">
        <v>259</v>
      </c>
      <c r="U123" t="s">
        <v>449</v>
      </c>
      <c r="V123" t="s">
        <v>450</v>
      </c>
      <c r="W123">
        <v>1</v>
      </c>
      <c r="X123">
        <v>2</v>
      </c>
      <c r="Y123" t="b">
        <v>0</v>
      </c>
      <c r="Z123" t="s">
        <v>457</v>
      </c>
      <c r="AA123" t="s">
        <v>41</v>
      </c>
      <c r="AB123" s="1">
        <v>42765.958333333336</v>
      </c>
      <c r="AC123" t="s">
        <v>42</v>
      </c>
      <c r="AD123" t="s">
        <v>43</v>
      </c>
      <c r="AE123" t="s">
        <v>253</v>
      </c>
    </row>
    <row r="124" spans="1:31" x14ac:dyDescent="0.3">
      <c r="A124">
        <v>97199</v>
      </c>
      <c r="B124" t="s">
        <v>458</v>
      </c>
      <c r="C124" t="s">
        <v>184</v>
      </c>
      <c r="E124" t="s">
        <v>246</v>
      </c>
      <c r="F124" t="s">
        <v>247</v>
      </c>
      <c r="G124" t="s">
        <v>248</v>
      </c>
      <c r="H124" t="s">
        <v>459</v>
      </c>
      <c r="I124" t="s">
        <v>460</v>
      </c>
      <c r="J124" t="s">
        <v>33</v>
      </c>
      <c r="K124" t="s">
        <v>33</v>
      </c>
      <c r="L124" t="s">
        <v>605</v>
      </c>
      <c r="M124" cm="1">
        <f t="array" ref="M124">Convert_Decimal(L124)</f>
        <v>40.395555555555553</v>
      </c>
      <c r="N124" t="s">
        <v>461</v>
      </c>
      <c r="P124">
        <v>986</v>
      </c>
      <c r="R124" s="1">
        <v>41538.916666666664</v>
      </c>
      <c r="S124" t="s">
        <v>36</v>
      </c>
      <c r="T124" t="s">
        <v>37</v>
      </c>
      <c r="U124" t="s">
        <v>449</v>
      </c>
      <c r="V124" t="s">
        <v>450</v>
      </c>
      <c r="W124">
        <v>1</v>
      </c>
      <c r="X124">
        <v>1</v>
      </c>
      <c r="Y124" t="b">
        <v>0</v>
      </c>
      <c r="Z124" t="s">
        <v>462</v>
      </c>
      <c r="AA124" t="s">
        <v>41</v>
      </c>
      <c r="AB124" s="1">
        <v>42765.958333333336</v>
      </c>
      <c r="AC124" t="s">
        <v>42</v>
      </c>
      <c r="AD124" t="s">
        <v>43</v>
      </c>
      <c r="AE124" t="s">
        <v>463</v>
      </c>
    </row>
    <row r="125" spans="1:31" x14ac:dyDescent="0.3">
      <c r="A125">
        <v>97210</v>
      </c>
      <c r="B125" t="s">
        <v>464</v>
      </c>
      <c r="C125" t="s">
        <v>184</v>
      </c>
      <c r="E125" t="s">
        <v>246</v>
      </c>
      <c r="F125" t="s">
        <v>247</v>
      </c>
      <c r="G125" t="s">
        <v>248</v>
      </c>
      <c r="H125" t="s">
        <v>459</v>
      </c>
      <c r="I125" t="s">
        <v>460</v>
      </c>
      <c r="J125" t="s">
        <v>33</v>
      </c>
      <c r="K125" t="s">
        <v>33</v>
      </c>
      <c r="L125" t="s">
        <v>605</v>
      </c>
      <c r="M125" cm="1">
        <f t="array" ref="M125">Convert_Decimal(L125)</f>
        <v>40.395555555555553</v>
      </c>
      <c r="N125" t="s">
        <v>461</v>
      </c>
      <c r="P125">
        <v>986</v>
      </c>
      <c r="R125" s="1">
        <v>41538.916666666664</v>
      </c>
      <c r="S125" t="s">
        <v>36</v>
      </c>
      <c r="T125" t="s">
        <v>259</v>
      </c>
      <c r="U125" t="s">
        <v>449</v>
      </c>
      <c r="V125" t="s">
        <v>450</v>
      </c>
      <c r="W125">
        <v>0</v>
      </c>
      <c r="X125">
        <v>1</v>
      </c>
      <c r="Y125" t="b">
        <v>0</v>
      </c>
      <c r="Z125" t="s">
        <v>465</v>
      </c>
      <c r="AA125" t="s">
        <v>41</v>
      </c>
      <c r="AB125" s="1">
        <v>42765.958333333336</v>
      </c>
      <c r="AC125" t="s">
        <v>42</v>
      </c>
      <c r="AD125" t="s">
        <v>43</v>
      </c>
      <c r="AE125" t="s">
        <v>253</v>
      </c>
    </row>
    <row r="126" spans="1:31" x14ac:dyDescent="0.3">
      <c r="A126">
        <v>97213</v>
      </c>
      <c r="B126" t="s">
        <v>466</v>
      </c>
      <c r="C126" t="s">
        <v>184</v>
      </c>
      <c r="E126" t="s">
        <v>246</v>
      </c>
      <c r="F126" t="s">
        <v>247</v>
      </c>
      <c r="G126" t="s">
        <v>248</v>
      </c>
      <c r="H126" t="s">
        <v>459</v>
      </c>
      <c r="I126" t="s">
        <v>460</v>
      </c>
      <c r="J126" t="s">
        <v>467</v>
      </c>
      <c r="K126" t="s">
        <v>33</v>
      </c>
      <c r="L126" t="s">
        <v>606</v>
      </c>
      <c r="M126" cm="1">
        <f t="array" ref="M126">Convert_Decimal(L126)</f>
        <v>40.433888888888887</v>
      </c>
      <c r="N126" t="s">
        <v>468</v>
      </c>
      <c r="P126">
        <v>1450</v>
      </c>
      <c r="R126" s="1">
        <v>41538.916666666664</v>
      </c>
      <c r="S126" t="s">
        <v>36</v>
      </c>
      <c r="T126" t="s">
        <v>259</v>
      </c>
      <c r="U126" t="s">
        <v>449</v>
      </c>
      <c r="V126" t="s">
        <v>450</v>
      </c>
      <c r="W126">
        <v>0</v>
      </c>
      <c r="X126">
        <v>1</v>
      </c>
      <c r="Y126" t="b">
        <v>0</v>
      </c>
      <c r="Z126" t="s">
        <v>469</v>
      </c>
      <c r="AA126" t="s">
        <v>41</v>
      </c>
      <c r="AB126" s="1">
        <v>42765.958333333336</v>
      </c>
      <c r="AC126" t="s">
        <v>42</v>
      </c>
      <c r="AD126" t="s">
        <v>43</v>
      </c>
      <c r="AE126" t="s">
        <v>253</v>
      </c>
    </row>
    <row r="127" spans="1:31" x14ac:dyDescent="0.3">
      <c r="A127">
        <v>97193</v>
      </c>
      <c r="B127" t="s">
        <v>470</v>
      </c>
      <c r="C127" t="s">
        <v>184</v>
      </c>
      <c r="E127" t="s">
        <v>246</v>
      </c>
      <c r="F127" t="s">
        <v>247</v>
      </c>
      <c r="G127" t="s">
        <v>248</v>
      </c>
      <c r="H127" t="s">
        <v>459</v>
      </c>
      <c r="I127" t="s">
        <v>460</v>
      </c>
      <c r="J127" t="s">
        <v>471</v>
      </c>
      <c r="K127" t="s">
        <v>33</v>
      </c>
      <c r="L127" t="s">
        <v>607</v>
      </c>
      <c r="M127" cm="1">
        <f t="array" ref="M127">Convert_Decimal(L127)</f>
        <v>40.336111111111109</v>
      </c>
      <c r="N127" t="s">
        <v>472</v>
      </c>
      <c r="P127">
        <v>1539</v>
      </c>
      <c r="R127" s="1">
        <v>41537.916666666664</v>
      </c>
      <c r="S127" t="s">
        <v>36</v>
      </c>
      <c r="T127" t="s">
        <v>259</v>
      </c>
      <c r="U127" t="s">
        <v>449</v>
      </c>
      <c r="V127" t="s">
        <v>450</v>
      </c>
      <c r="W127">
        <v>0</v>
      </c>
      <c r="X127">
        <v>1</v>
      </c>
      <c r="Y127" t="b">
        <v>0</v>
      </c>
      <c r="Z127" t="s">
        <v>473</v>
      </c>
      <c r="AA127" t="s">
        <v>41</v>
      </c>
      <c r="AB127" s="1">
        <v>42765.958333333336</v>
      </c>
      <c r="AC127" t="s">
        <v>42</v>
      </c>
      <c r="AD127" t="s">
        <v>43</v>
      </c>
      <c r="AE127" t="s">
        <v>253</v>
      </c>
    </row>
    <row r="128" spans="1:31" x14ac:dyDescent="0.3">
      <c r="A128">
        <v>97240</v>
      </c>
      <c r="B128" t="s">
        <v>474</v>
      </c>
      <c r="C128" t="s">
        <v>184</v>
      </c>
      <c r="E128" t="s">
        <v>246</v>
      </c>
      <c r="F128" t="s">
        <v>247</v>
      </c>
      <c r="G128" t="s">
        <v>248</v>
      </c>
      <c r="H128" t="s">
        <v>255</v>
      </c>
      <c r="I128" t="s">
        <v>475</v>
      </c>
      <c r="J128" t="s">
        <v>33</v>
      </c>
      <c r="K128" t="s">
        <v>33</v>
      </c>
      <c r="L128" t="s">
        <v>608</v>
      </c>
      <c r="M128" cm="1">
        <f t="array" ref="M128">Convert_Decimal(L128)</f>
        <v>40.489166666666669</v>
      </c>
      <c r="N128" t="s">
        <v>476</v>
      </c>
      <c r="P128">
        <v>1547</v>
      </c>
      <c r="R128" s="1">
        <v>42244.916666666664</v>
      </c>
      <c r="S128" t="s">
        <v>36</v>
      </c>
      <c r="T128" t="s">
        <v>37</v>
      </c>
      <c r="U128" t="s">
        <v>449</v>
      </c>
      <c r="V128" t="s">
        <v>450</v>
      </c>
      <c r="W128">
        <v>0</v>
      </c>
      <c r="X128">
        <v>1</v>
      </c>
      <c r="Y128" t="b">
        <v>0</v>
      </c>
      <c r="Z128" t="s">
        <v>477</v>
      </c>
      <c r="AA128" t="s">
        <v>41</v>
      </c>
      <c r="AB128" s="1">
        <v>42765.958333333336</v>
      </c>
      <c r="AC128" t="s">
        <v>42</v>
      </c>
      <c r="AD128" t="s">
        <v>43</v>
      </c>
      <c r="AE128" t="s">
        <v>478</v>
      </c>
    </row>
    <row r="129" spans="1:31" x14ac:dyDescent="0.3">
      <c r="A129">
        <v>97282</v>
      </c>
      <c r="B129" t="s">
        <v>474</v>
      </c>
      <c r="C129" t="s">
        <v>184</v>
      </c>
      <c r="E129" t="s">
        <v>246</v>
      </c>
      <c r="F129" t="s">
        <v>247</v>
      </c>
      <c r="G129" t="s">
        <v>248</v>
      </c>
      <c r="H129" t="s">
        <v>255</v>
      </c>
      <c r="I129" t="s">
        <v>475</v>
      </c>
      <c r="J129" t="s">
        <v>33</v>
      </c>
      <c r="K129" t="s">
        <v>33</v>
      </c>
      <c r="L129" t="s">
        <v>608</v>
      </c>
      <c r="M129" cm="1">
        <f t="array" ref="M129">Convert_Decimal(L129)</f>
        <v>40.489166666666669</v>
      </c>
      <c r="N129" t="s">
        <v>476</v>
      </c>
      <c r="P129">
        <v>1547</v>
      </c>
      <c r="R129" s="1">
        <v>42244.916666666664</v>
      </c>
      <c r="S129" t="s">
        <v>36</v>
      </c>
      <c r="T129" t="s">
        <v>37</v>
      </c>
      <c r="U129" t="s">
        <v>449</v>
      </c>
      <c r="V129" t="s">
        <v>450</v>
      </c>
      <c r="W129">
        <v>1</v>
      </c>
      <c r="X129">
        <v>0</v>
      </c>
      <c r="Y129" t="b">
        <v>0</v>
      </c>
      <c r="Z129" t="s">
        <v>453</v>
      </c>
      <c r="AA129" t="s">
        <v>41</v>
      </c>
      <c r="AB129" s="1">
        <v>42765.958333333336</v>
      </c>
      <c r="AC129" t="s">
        <v>42</v>
      </c>
      <c r="AD129" t="s">
        <v>43</v>
      </c>
      <c r="AE129" t="s">
        <v>253</v>
      </c>
    </row>
    <row r="130" spans="1:31" x14ac:dyDescent="0.3">
      <c r="A130">
        <v>97275</v>
      </c>
      <c r="B130" t="s">
        <v>479</v>
      </c>
      <c r="C130" t="s">
        <v>184</v>
      </c>
      <c r="E130" t="s">
        <v>246</v>
      </c>
      <c r="F130" t="s">
        <v>247</v>
      </c>
      <c r="G130" t="s">
        <v>248</v>
      </c>
      <c r="H130" t="s">
        <v>255</v>
      </c>
      <c r="I130" t="s">
        <v>475</v>
      </c>
      <c r="J130" t="s">
        <v>480</v>
      </c>
      <c r="K130" t="s">
        <v>33</v>
      </c>
      <c r="L130" t="s">
        <v>609</v>
      </c>
      <c r="M130" cm="1">
        <f t="array" ref="M130">Convert_Decimal(L130)</f>
        <v>40.858055555555552</v>
      </c>
      <c r="N130" t="s">
        <v>481</v>
      </c>
      <c r="P130">
        <v>1004</v>
      </c>
      <c r="R130" s="1">
        <v>41885.916666666664</v>
      </c>
      <c r="S130" t="s">
        <v>36</v>
      </c>
      <c r="T130" t="s">
        <v>259</v>
      </c>
      <c r="U130" t="s">
        <v>449</v>
      </c>
      <c r="V130" t="s">
        <v>450</v>
      </c>
      <c r="W130">
        <v>1</v>
      </c>
      <c r="X130">
        <v>0</v>
      </c>
      <c r="Y130" t="b">
        <v>1</v>
      </c>
      <c r="Z130" t="s">
        <v>453</v>
      </c>
      <c r="AA130" t="s">
        <v>41</v>
      </c>
      <c r="AB130" s="1">
        <v>42765.958333333336</v>
      </c>
      <c r="AC130" t="s">
        <v>42</v>
      </c>
      <c r="AD130" t="s">
        <v>43</v>
      </c>
      <c r="AE130" t="s">
        <v>253</v>
      </c>
    </row>
    <row r="131" spans="1:31" x14ac:dyDescent="0.3">
      <c r="A131">
        <v>97304</v>
      </c>
      <c r="B131" t="s">
        <v>254</v>
      </c>
      <c r="C131" t="s">
        <v>184</v>
      </c>
      <c r="E131" t="s">
        <v>246</v>
      </c>
      <c r="F131" t="s">
        <v>247</v>
      </c>
      <c r="G131" t="s">
        <v>248</v>
      </c>
      <c r="H131" t="s">
        <v>255</v>
      </c>
      <c r="I131" t="s">
        <v>256</v>
      </c>
      <c r="J131" t="s">
        <v>257</v>
      </c>
      <c r="K131" t="s">
        <v>33</v>
      </c>
      <c r="L131" t="s">
        <v>575</v>
      </c>
      <c r="M131" cm="1">
        <f t="array" ref="M131">Convert_Decimal(L131)</f>
        <v>41.462777777777781</v>
      </c>
      <c r="N131" t="s">
        <v>258</v>
      </c>
      <c r="P131">
        <v>890</v>
      </c>
      <c r="R131" s="1">
        <v>41884.916666666664</v>
      </c>
      <c r="S131" t="s">
        <v>36</v>
      </c>
      <c r="T131" t="s">
        <v>259</v>
      </c>
      <c r="U131" t="s">
        <v>449</v>
      </c>
      <c r="V131" t="s">
        <v>450</v>
      </c>
      <c r="W131">
        <v>4</v>
      </c>
      <c r="X131">
        <v>0</v>
      </c>
      <c r="Y131" t="b">
        <v>0</v>
      </c>
      <c r="Z131" t="s">
        <v>453</v>
      </c>
      <c r="AA131" t="s">
        <v>41</v>
      </c>
      <c r="AB131" s="1">
        <v>42765.958333333336</v>
      </c>
      <c r="AC131" t="s">
        <v>42</v>
      </c>
      <c r="AD131" t="s">
        <v>43</v>
      </c>
      <c r="AE131" t="s">
        <v>253</v>
      </c>
    </row>
    <row r="132" spans="1:31" x14ac:dyDescent="0.3">
      <c r="A132">
        <v>98184</v>
      </c>
      <c r="B132" t="s">
        <v>254</v>
      </c>
      <c r="C132" t="s">
        <v>184</v>
      </c>
      <c r="E132" t="s">
        <v>246</v>
      </c>
      <c r="F132" t="s">
        <v>247</v>
      </c>
      <c r="G132" t="s">
        <v>248</v>
      </c>
      <c r="H132" t="s">
        <v>255</v>
      </c>
      <c r="I132" t="s">
        <v>256</v>
      </c>
      <c r="J132" t="s">
        <v>257</v>
      </c>
      <c r="K132" t="s">
        <v>33</v>
      </c>
      <c r="L132" t="s">
        <v>575</v>
      </c>
      <c r="M132" cm="1">
        <f t="array" ref="M132">Convert_Decimal(L132)</f>
        <v>41.462777777777781</v>
      </c>
      <c r="N132" t="s">
        <v>258</v>
      </c>
      <c r="P132">
        <v>890</v>
      </c>
      <c r="R132" s="1">
        <v>41884.916666666664</v>
      </c>
      <c r="S132" t="s">
        <v>36</v>
      </c>
      <c r="T132" t="s">
        <v>259</v>
      </c>
      <c r="U132" t="s">
        <v>449</v>
      </c>
      <c r="V132" t="s">
        <v>450</v>
      </c>
      <c r="W132">
        <v>0</v>
      </c>
      <c r="X132">
        <v>1</v>
      </c>
      <c r="Y132" t="b">
        <v>0</v>
      </c>
      <c r="Z132" t="s">
        <v>477</v>
      </c>
      <c r="AA132" t="s">
        <v>41</v>
      </c>
      <c r="AB132" s="1">
        <v>43246.916666666664</v>
      </c>
      <c r="AC132" t="s">
        <v>42</v>
      </c>
      <c r="AD132" t="s">
        <v>43</v>
      </c>
      <c r="AE132" t="s">
        <v>478</v>
      </c>
    </row>
    <row r="133" spans="1:31" x14ac:dyDescent="0.3">
      <c r="A133">
        <v>98050</v>
      </c>
      <c r="B133" t="s">
        <v>482</v>
      </c>
      <c r="C133" t="s">
        <v>184</v>
      </c>
      <c r="E133" t="s">
        <v>483</v>
      </c>
      <c r="F133" t="s">
        <v>484</v>
      </c>
      <c r="G133" t="s">
        <v>485</v>
      </c>
      <c r="H133" t="s">
        <v>486</v>
      </c>
      <c r="I133" t="s">
        <v>487</v>
      </c>
      <c r="J133" t="s">
        <v>488</v>
      </c>
      <c r="K133" t="s">
        <v>33</v>
      </c>
      <c r="L133" t="s">
        <v>610</v>
      </c>
      <c r="M133" cm="1">
        <f t="array" ref="M133">Convert_Decimal(L133)</f>
        <v>41.378611111111113</v>
      </c>
      <c r="N133" t="s">
        <v>489</v>
      </c>
      <c r="P133">
        <v>1645</v>
      </c>
      <c r="R133" s="1">
        <v>41883.916666666664</v>
      </c>
      <c r="S133" t="s">
        <v>49</v>
      </c>
      <c r="T133" t="s">
        <v>259</v>
      </c>
      <c r="U133" t="s">
        <v>449</v>
      </c>
      <c r="V133" t="s">
        <v>450</v>
      </c>
      <c r="W133">
        <v>1</v>
      </c>
      <c r="X133">
        <v>0</v>
      </c>
      <c r="Y133" t="b">
        <v>0</v>
      </c>
      <c r="Z133" t="s">
        <v>453</v>
      </c>
      <c r="AA133" t="s">
        <v>41</v>
      </c>
      <c r="AB133" s="1">
        <v>42765.958333333336</v>
      </c>
      <c r="AC133" t="s">
        <v>42</v>
      </c>
      <c r="AD133" t="s">
        <v>43</v>
      </c>
      <c r="AE133" t="s">
        <v>253</v>
      </c>
    </row>
    <row r="134" spans="1:31" x14ac:dyDescent="0.3">
      <c r="A134">
        <v>99751</v>
      </c>
      <c r="B134" t="s">
        <v>490</v>
      </c>
      <c r="C134" t="s">
        <v>184</v>
      </c>
      <c r="E134" t="s">
        <v>281</v>
      </c>
      <c r="F134" t="s">
        <v>282</v>
      </c>
      <c r="G134" t="s">
        <v>283</v>
      </c>
      <c r="H134" t="s">
        <v>292</v>
      </c>
      <c r="I134" t="s">
        <v>491</v>
      </c>
      <c r="J134" t="s">
        <v>492</v>
      </c>
      <c r="K134" t="s">
        <v>33</v>
      </c>
      <c r="L134" t="s">
        <v>611</v>
      </c>
      <c r="M134" cm="1">
        <f t="array" ref="M134">Convert_Decimal(L134)</f>
        <v>41.244166666666665</v>
      </c>
      <c r="N134" t="s">
        <v>493</v>
      </c>
      <c r="P134">
        <v>60</v>
      </c>
      <c r="Q134" s="1">
        <v>39947.916666666664</v>
      </c>
      <c r="R134" s="1">
        <v>39947.916666666664</v>
      </c>
      <c r="S134" t="s">
        <v>49</v>
      </c>
      <c r="T134" t="s">
        <v>37</v>
      </c>
      <c r="U134" t="s">
        <v>449</v>
      </c>
      <c r="V134" t="s">
        <v>450</v>
      </c>
      <c r="W134">
        <v>1</v>
      </c>
      <c r="X134">
        <v>0</v>
      </c>
      <c r="Y134" t="b">
        <v>0</v>
      </c>
      <c r="Z134" t="s">
        <v>494</v>
      </c>
      <c r="AA134" t="s">
        <v>41</v>
      </c>
      <c r="AB134" s="1">
        <v>40918.958333333336</v>
      </c>
      <c r="AC134" t="s">
        <v>42</v>
      </c>
      <c r="AD134" t="s">
        <v>43</v>
      </c>
    </row>
    <row r="135" spans="1:31" x14ac:dyDescent="0.3">
      <c r="A135">
        <v>96273</v>
      </c>
      <c r="B135" t="s">
        <v>490</v>
      </c>
      <c r="C135" t="s">
        <v>184</v>
      </c>
      <c r="E135" t="s">
        <v>281</v>
      </c>
      <c r="F135" t="s">
        <v>282</v>
      </c>
      <c r="G135" t="s">
        <v>283</v>
      </c>
      <c r="H135" t="s">
        <v>292</v>
      </c>
      <c r="I135" t="s">
        <v>491</v>
      </c>
      <c r="J135" t="s">
        <v>492</v>
      </c>
      <c r="K135" t="s">
        <v>33</v>
      </c>
      <c r="L135" t="s">
        <v>611</v>
      </c>
      <c r="M135" cm="1">
        <f t="array" ref="M135">Convert_Decimal(L135)</f>
        <v>41.244166666666665</v>
      </c>
      <c r="N135" t="s">
        <v>493</v>
      </c>
      <c r="P135">
        <v>60</v>
      </c>
      <c r="Q135" s="1">
        <v>39947.916666666664</v>
      </c>
      <c r="R135" s="1">
        <v>39947.916666666664</v>
      </c>
      <c r="S135" t="s">
        <v>49</v>
      </c>
      <c r="T135" t="s">
        <v>37</v>
      </c>
      <c r="U135" t="s">
        <v>449</v>
      </c>
      <c r="V135" t="s">
        <v>450</v>
      </c>
      <c r="W135">
        <v>1</v>
      </c>
      <c r="X135">
        <v>4</v>
      </c>
      <c r="Y135" t="b">
        <v>0</v>
      </c>
      <c r="Z135" t="s">
        <v>495</v>
      </c>
      <c r="AA135" t="s">
        <v>41</v>
      </c>
      <c r="AB135" s="1">
        <v>40918.958333333336</v>
      </c>
      <c r="AC135" t="s">
        <v>42</v>
      </c>
      <c r="AD135" t="s">
        <v>43</v>
      </c>
      <c r="AE135" t="s">
        <v>496</v>
      </c>
    </row>
    <row r="136" spans="1:31" x14ac:dyDescent="0.3">
      <c r="A136">
        <v>97535</v>
      </c>
      <c r="B136" t="s">
        <v>497</v>
      </c>
      <c r="C136" t="s">
        <v>184</v>
      </c>
      <c r="E136" t="s">
        <v>281</v>
      </c>
      <c r="F136" t="s">
        <v>282</v>
      </c>
      <c r="G136" t="s">
        <v>283</v>
      </c>
      <c r="H136" t="s">
        <v>292</v>
      </c>
      <c r="I136" t="s">
        <v>491</v>
      </c>
      <c r="J136" t="s">
        <v>492</v>
      </c>
      <c r="K136" t="s">
        <v>33</v>
      </c>
      <c r="L136" t="s">
        <v>611</v>
      </c>
      <c r="M136" cm="1">
        <f t="array" ref="M136">Convert_Decimal(L136)</f>
        <v>41.244166666666665</v>
      </c>
      <c r="N136" t="s">
        <v>493</v>
      </c>
      <c r="P136">
        <v>60</v>
      </c>
      <c r="R136" s="1">
        <v>41425.916666666664</v>
      </c>
      <c r="S136" t="s">
        <v>36</v>
      </c>
      <c r="T136" t="s">
        <v>37</v>
      </c>
      <c r="U136" t="s">
        <v>449</v>
      </c>
      <c r="V136" t="s">
        <v>450</v>
      </c>
      <c r="W136">
        <v>1</v>
      </c>
      <c r="X136">
        <v>0</v>
      </c>
      <c r="Y136" t="b">
        <v>0</v>
      </c>
      <c r="Z136" t="s">
        <v>498</v>
      </c>
      <c r="AA136" t="s">
        <v>41</v>
      </c>
      <c r="AB136" s="1">
        <v>42765.958333333336</v>
      </c>
      <c r="AC136" t="s">
        <v>42</v>
      </c>
      <c r="AD136" t="s">
        <v>43</v>
      </c>
      <c r="AE136" t="s">
        <v>253</v>
      </c>
    </row>
    <row r="137" spans="1:31" x14ac:dyDescent="0.3">
      <c r="A137">
        <v>98057</v>
      </c>
      <c r="B137" t="s">
        <v>499</v>
      </c>
      <c r="C137" t="s">
        <v>184</v>
      </c>
      <c r="E137" t="s">
        <v>322</v>
      </c>
      <c r="F137" t="s">
        <v>500</v>
      </c>
      <c r="G137" t="s">
        <v>501</v>
      </c>
      <c r="H137" t="s">
        <v>502</v>
      </c>
      <c r="I137" t="s">
        <v>503</v>
      </c>
      <c r="J137" t="s">
        <v>504</v>
      </c>
      <c r="K137" t="s">
        <v>33</v>
      </c>
      <c r="L137" t="s">
        <v>612</v>
      </c>
      <c r="M137" cm="1">
        <f t="array" ref="M137">Convert_Decimal(L137)</f>
        <v>42.107777777777777</v>
      </c>
      <c r="N137" t="s">
        <v>505</v>
      </c>
      <c r="P137">
        <v>980</v>
      </c>
      <c r="R137" s="1">
        <v>42622.916666666664</v>
      </c>
      <c r="S137" t="s">
        <v>36</v>
      </c>
      <c r="T137" t="s">
        <v>37</v>
      </c>
      <c r="U137" t="s">
        <v>449</v>
      </c>
      <c r="V137" t="s">
        <v>450</v>
      </c>
      <c r="W137">
        <v>2</v>
      </c>
      <c r="X137">
        <v>0</v>
      </c>
      <c r="Y137" t="b">
        <v>0</v>
      </c>
      <c r="Z137" t="s">
        <v>453</v>
      </c>
      <c r="AA137" t="s">
        <v>41</v>
      </c>
      <c r="AB137" s="1">
        <v>42765.958333333336</v>
      </c>
      <c r="AC137" t="s">
        <v>42</v>
      </c>
      <c r="AD137" t="s">
        <v>43</v>
      </c>
      <c r="AE137" t="s">
        <v>253</v>
      </c>
    </row>
    <row r="138" spans="1:31" x14ac:dyDescent="0.3">
      <c r="A138">
        <v>98055</v>
      </c>
      <c r="B138" t="s">
        <v>499</v>
      </c>
      <c r="C138" t="s">
        <v>184</v>
      </c>
      <c r="E138" t="s">
        <v>322</v>
      </c>
      <c r="F138" t="s">
        <v>500</v>
      </c>
      <c r="G138" t="s">
        <v>501</v>
      </c>
      <c r="H138" t="s">
        <v>502</v>
      </c>
      <c r="I138" t="s">
        <v>503</v>
      </c>
      <c r="J138" t="s">
        <v>504</v>
      </c>
      <c r="K138" t="s">
        <v>33</v>
      </c>
      <c r="L138" t="s">
        <v>612</v>
      </c>
      <c r="M138" cm="1">
        <f t="array" ref="M138">Convert_Decimal(L138)</f>
        <v>42.107777777777777</v>
      </c>
      <c r="N138" t="s">
        <v>505</v>
      </c>
      <c r="P138">
        <v>980</v>
      </c>
      <c r="R138" s="1">
        <v>42622.916666666664</v>
      </c>
      <c r="S138" t="s">
        <v>36</v>
      </c>
      <c r="T138" t="s">
        <v>37</v>
      </c>
      <c r="U138" t="s">
        <v>449</v>
      </c>
      <c r="V138" t="s">
        <v>450</v>
      </c>
      <c r="W138">
        <v>0</v>
      </c>
      <c r="X138">
        <v>1</v>
      </c>
      <c r="Y138" t="b">
        <v>1</v>
      </c>
      <c r="Z138" t="s">
        <v>506</v>
      </c>
      <c r="AA138" t="s">
        <v>41</v>
      </c>
      <c r="AB138" s="1">
        <v>42765.958333333336</v>
      </c>
      <c r="AC138" t="s">
        <v>42</v>
      </c>
      <c r="AD138" t="s">
        <v>43</v>
      </c>
      <c r="AE138" t="s">
        <v>507</v>
      </c>
    </row>
    <row r="139" spans="1:31" x14ac:dyDescent="0.3">
      <c r="A139">
        <v>96777</v>
      </c>
      <c r="B139" t="s">
        <v>508</v>
      </c>
      <c r="C139" t="s">
        <v>184</v>
      </c>
      <c r="E139" t="s">
        <v>371</v>
      </c>
      <c r="F139" t="s">
        <v>372</v>
      </c>
      <c r="G139" t="s">
        <v>373</v>
      </c>
      <c r="H139" t="s">
        <v>373</v>
      </c>
      <c r="I139" t="s">
        <v>509</v>
      </c>
      <c r="J139" t="s">
        <v>33</v>
      </c>
      <c r="K139" t="s">
        <v>33</v>
      </c>
      <c r="L139" t="s">
        <v>613</v>
      </c>
      <c r="M139" cm="1">
        <f t="array" ref="M139">Convert_Decimal(L139)</f>
        <v>41.893611111111113</v>
      </c>
      <c r="N139" t="s">
        <v>510</v>
      </c>
      <c r="P139">
        <v>916</v>
      </c>
      <c r="R139" s="1">
        <v>42173.916666666664</v>
      </c>
      <c r="S139" t="s">
        <v>36</v>
      </c>
      <c r="T139" t="s">
        <v>37</v>
      </c>
      <c r="U139" t="s">
        <v>449</v>
      </c>
      <c r="V139" t="s">
        <v>450</v>
      </c>
      <c r="W139">
        <v>1</v>
      </c>
      <c r="X139">
        <v>0</v>
      </c>
      <c r="Y139" t="b">
        <v>0</v>
      </c>
      <c r="Z139" t="s">
        <v>511</v>
      </c>
      <c r="AA139" t="s">
        <v>41</v>
      </c>
      <c r="AB139" s="1">
        <v>42765.958333333336</v>
      </c>
      <c r="AC139" t="s">
        <v>42</v>
      </c>
      <c r="AD139" t="s">
        <v>43</v>
      </c>
      <c r="AE139" t="s">
        <v>253</v>
      </c>
    </row>
    <row r="140" spans="1:31" x14ac:dyDescent="0.3">
      <c r="A140">
        <v>96773</v>
      </c>
      <c r="B140" t="s">
        <v>508</v>
      </c>
      <c r="C140" t="s">
        <v>184</v>
      </c>
      <c r="E140" t="s">
        <v>371</v>
      </c>
      <c r="F140" t="s">
        <v>372</v>
      </c>
      <c r="G140" t="s">
        <v>373</v>
      </c>
      <c r="H140" t="s">
        <v>373</v>
      </c>
      <c r="I140" t="s">
        <v>509</v>
      </c>
      <c r="J140" t="s">
        <v>33</v>
      </c>
      <c r="K140" t="s">
        <v>33</v>
      </c>
      <c r="L140" t="s">
        <v>613</v>
      </c>
      <c r="M140" cm="1">
        <f t="array" ref="M140">Convert_Decimal(L140)</f>
        <v>41.893611111111113</v>
      </c>
      <c r="N140" t="s">
        <v>510</v>
      </c>
      <c r="P140">
        <v>916</v>
      </c>
      <c r="R140" s="1">
        <v>42173.916666666664</v>
      </c>
      <c r="S140" t="s">
        <v>36</v>
      </c>
      <c r="T140" t="s">
        <v>37</v>
      </c>
      <c r="U140" t="s">
        <v>449</v>
      </c>
      <c r="V140" t="s">
        <v>450</v>
      </c>
      <c r="W140">
        <v>0</v>
      </c>
      <c r="X140">
        <v>2</v>
      </c>
      <c r="Y140" t="b">
        <v>0</v>
      </c>
      <c r="Z140" t="s">
        <v>477</v>
      </c>
      <c r="AA140" t="s">
        <v>41</v>
      </c>
      <c r="AB140" s="1">
        <v>42765.958333333336</v>
      </c>
      <c r="AC140" t="s">
        <v>42</v>
      </c>
      <c r="AD140" t="s">
        <v>43</v>
      </c>
      <c r="AE140" t="s">
        <v>512</v>
      </c>
    </row>
    <row r="141" spans="1:31" x14ac:dyDescent="0.3">
      <c r="A141">
        <v>96888</v>
      </c>
      <c r="B141" t="s">
        <v>513</v>
      </c>
      <c r="C141" t="s">
        <v>184</v>
      </c>
      <c r="E141" t="s">
        <v>371</v>
      </c>
      <c r="F141" t="s">
        <v>372</v>
      </c>
      <c r="G141" t="s">
        <v>373</v>
      </c>
      <c r="H141" t="s">
        <v>373</v>
      </c>
      <c r="I141" t="s">
        <v>514</v>
      </c>
      <c r="J141" t="s">
        <v>515</v>
      </c>
      <c r="K141" t="s">
        <v>33</v>
      </c>
      <c r="L141" t="s">
        <v>614</v>
      </c>
      <c r="M141" cm="1">
        <f t="array" ref="M141">Convert_Decimal(L141)</f>
        <v>42.024999999999999</v>
      </c>
      <c r="N141" t="s">
        <v>516</v>
      </c>
      <c r="P141">
        <v>1049</v>
      </c>
      <c r="R141" s="1">
        <v>41857.916666666664</v>
      </c>
      <c r="S141" t="s">
        <v>36</v>
      </c>
      <c r="T141" t="s">
        <v>37</v>
      </c>
      <c r="U141" t="s">
        <v>449</v>
      </c>
      <c r="V141" t="s">
        <v>450</v>
      </c>
      <c r="W141">
        <v>2</v>
      </c>
      <c r="X141">
        <v>0</v>
      </c>
      <c r="Y141" t="b">
        <v>0</v>
      </c>
      <c r="Z141" t="s">
        <v>517</v>
      </c>
      <c r="AA141" t="s">
        <v>41</v>
      </c>
      <c r="AB141" s="1">
        <v>42765.958333333336</v>
      </c>
      <c r="AC141" t="s">
        <v>42</v>
      </c>
      <c r="AD141" t="s">
        <v>43</v>
      </c>
      <c r="AE141" t="s">
        <v>253</v>
      </c>
    </row>
    <row r="142" spans="1:31" x14ac:dyDescent="0.3">
      <c r="A142">
        <v>98023</v>
      </c>
      <c r="B142" t="s">
        <v>412</v>
      </c>
      <c r="C142" t="s">
        <v>184</v>
      </c>
      <c r="E142" t="s">
        <v>371</v>
      </c>
      <c r="F142" t="s">
        <v>372</v>
      </c>
      <c r="G142" t="s">
        <v>373</v>
      </c>
      <c r="H142" t="s">
        <v>408</v>
      </c>
      <c r="I142" t="s">
        <v>409</v>
      </c>
      <c r="J142" t="s">
        <v>413</v>
      </c>
      <c r="K142" t="s">
        <v>33</v>
      </c>
      <c r="L142" t="s">
        <v>598</v>
      </c>
      <c r="M142" cm="1">
        <f t="array" ref="M142">Convert_Decimal(L142)</f>
        <v>41.628888888888888</v>
      </c>
      <c r="N142" t="s">
        <v>414</v>
      </c>
      <c r="P142">
        <v>575</v>
      </c>
      <c r="R142" s="1">
        <v>42281.916666666664</v>
      </c>
      <c r="S142" t="s">
        <v>36</v>
      </c>
      <c r="T142" t="s">
        <v>61</v>
      </c>
      <c r="U142" t="s">
        <v>449</v>
      </c>
      <c r="V142" t="s">
        <v>450</v>
      </c>
      <c r="W142">
        <v>1</v>
      </c>
      <c r="X142">
        <v>0</v>
      </c>
      <c r="Y142" t="b">
        <v>0</v>
      </c>
      <c r="Z142" t="s">
        <v>453</v>
      </c>
      <c r="AA142" t="s">
        <v>41</v>
      </c>
      <c r="AB142" s="1">
        <v>42765.958333333336</v>
      </c>
      <c r="AC142" t="s">
        <v>42</v>
      </c>
      <c r="AD142" t="s">
        <v>43</v>
      </c>
      <c r="AE142" t="s">
        <v>253</v>
      </c>
    </row>
    <row r="143" spans="1:31" x14ac:dyDescent="0.3">
      <c r="A143">
        <v>97644</v>
      </c>
      <c r="B143" t="s">
        <v>518</v>
      </c>
      <c r="C143" t="s">
        <v>184</v>
      </c>
      <c r="E143" t="s">
        <v>371</v>
      </c>
      <c r="F143" t="s">
        <v>419</v>
      </c>
      <c r="G143" t="s">
        <v>420</v>
      </c>
      <c r="H143" t="s">
        <v>421</v>
      </c>
      <c r="I143" t="s">
        <v>519</v>
      </c>
      <c r="J143" t="s">
        <v>33</v>
      </c>
      <c r="K143" t="s">
        <v>33</v>
      </c>
      <c r="L143" t="s">
        <v>615</v>
      </c>
      <c r="M143" cm="1">
        <f t="array" ref="M143">Convert_Decimal(L143)</f>
        <v>41.518611111111113</v>
      </c>
      <c r="N143" t="s">
        <v>520</v>
      </c>
      <c r="P143">
        <v>695</v>
      </c>
      <c r="R143" s="1">
        <v>41450.916666666664</v>
      </c>
      <c r="S143" t="s">
        <v>36</v>
      </c>
      <c r="T143" t="s">
        <v>37</v>
      </c>
      <c r="U143" t="s">
        <v>449</v>
      </c>
      <c r="V143" t="s">
        <v>450</v>
      </c>
      <c r="W143">
        <v>0</v>
      </c>
      <c r="X143">
        <v>1</v>
      </c>
      <c r="Y143" t="b">
        <v>0</v>
      </c>
      <c r="Z143" t="s">
        <v>477</v>
      </c>
      <c r="AA143" t="s">
        <v>41</v>
      </c>
      <c r="AB143" s="1">
        <v>42765.958333333336</v>
      </c>
      <c r="AC143" t="s">
        <v>42</v>
      </c>
      <c r="AD143" t="s">
        <v>43</v>
      </c>
      <c r="AE143" t="s">
        <v>253</v>
      </c>
    </row>
    <row r="144" spans="1:31" x14ac:dyDescent="0.3">
      <c r="A144">
        <v>97668</v>
      </c>
      <c r="B144" t="s">
        <v>418</v>
      </c>
      <c r="C144" t="s">
        <v>184</v>
      </c>
      <c r="E144" t="s">
        <v>371</v>
      </c>
      <c r="F144" t="s">
        <v>419</v>
      </c>
      <c r="G144" t="s">
        <v>420</v>
      </c>
      <c r="H144" t="s">
        <v>421</v>
      </c>
      <c r="I144" t="s">
        <v>422</v>
      </c>
      <c r="J144" t="s">
        <v>423</v>
      </c>
      <c r="K144" t="s">
        <v>33</v>
      </c>
      <c r="L144" t="s">
        <v>599</v>
      </c>
      <c r="M144" cm="1">
        <f t="array" ref="M144">Convert_Decimal(L144)</f>
        <v>41.488888888888887</v>
      </c>
      <c r="N144" t="s">
        <v>424</v>
      </c>
      <c r="P144">
        <v>750</v>
      </c>
      <c r="R144" s="1">
        <v>41449.916666666664</v>
      </c>
      <c r="S144" t="s">
        <v>36</v>
      </c>
      <c r="T144" t="s">
        <v>37</v>
      </c>
      <c r="U144" t="s">
        <v>449</v>
      </c>
      <c r="V144" t="s">
        <v>450</v>
      </c>
      <c r="W144">
        <v>2</v>
      </c>
      <c r="X144">
        <v>0</v>
      </c>
      <c r="Y144" t="b">
        <v>0</v>
      </c>
      <c r="Z144" t="s">
        <v>453</v>
      </c>
      <c r="AA144" t="s">
        <v>41</v>
      </c>
      <c r="AB144" s="1">
        <v>42765.958333333336</v>
      </c>
      <c r="AC144" t="s">
        <v>42</v>
      </c>
      <c r="AD144" t="s">
        <v>43</v>
      </c>
      <c r="AE144" t="s">
        <v>253</v>
      </c>
    </row>
    <row r="145" spans="1:31" x14ac:dyDescent="0.3">
      <c r="A145">
        <v>97676</v>
      </c>
      <c r="B145" t="s">
        <v>425</v>
      </c>
      <c r="C145" t="s">
        <v>184</v>
      </c>
      <c r="E145" t="s">
        <v>371</v>
      </c>
      <c r="F145" t="s">
        <v>419</v>
      </c>
      <c r="G145" t="s">
        <v>420</v>
      </c>
      <c r="H145" t="s">
        <v>426</v>
      </c>
      <c r="I145" t="s">
        <v>427</v>
      </c>
      <c r="J145" t="s">
        <v>33</v>
      </c>
      <c r="K145" t="s">
        <v>33</v>
      </c>
      <c r="L145" t="s">
        <v>600</v>
      </c>
      <c r="M145" cm="1">
        <f t="array" ref="M145">Convert_Decimal(L145)</f>
        <v>41.951944444444443</v>
      </c>
      <c r="N145" t="s">
        <v>428</v>
      </c>
      <c r="P145">
        <v>965</v>
      </c>
      <c r="R145" s="1">
        <v>41161.916666666664</v>
      </c>
      <c r="S145" t="s">
        <v>36</v>
      </c>
      <c r="T145" t="s">
        <v>37</v>
      </c>
      <c r="U145" t="s">
        <v>449</v>
      </c>
      <c r="V145" t="s">
        <v>450</v>
      </c>
      <c r="W145">
        <v>1</v>
      </c>
      <c r="X145">
        <v>0</v>
      </c>
      <c r="Y145" t="b">
        <v>0</v>
      </c>
      <c r="Z145" t="s">
        <v>453</v>
      </c>
      <c r="AA145" t="s">
        <v>41</v>
      </c>
      <c r="AB145" s="1">
        <v>42765.958333333336</v>
      </c>
      <c r="AC145" t="s">
        <v>42</v>
      </c>
      <c r="AD145" t="s">
        <v>43</v>
      </c>
      <c r="AE145" t="s">
        <v>253</v>
      </c>
    </row>
    <row r="146" spans="1:31" x14ac:dyDescent="0.3">
      <c r="A146">
        <v>118191</v>
      </c>
      <c r="B146" t="s">
        <v>521</v>
      </c>
      <c r="C146" t="s">
        <v>210</v>
      </c>
      <c r="D146" t="s">
        <v>211</v>
      </c>
      <c r="E146" t="s">
        <v>212</v>
      </c>
      <c r="H146" t="s">
        <v>33</v>
      </c>
      <c r="I146" t="s">
        <v>220</v>
      </c>
      <c r="J146" t="s">
        <v>522</v>
      </c>
      <c r="K146" t="s">
        <v>222</v>
      </c>
      <c r="L146" t="s">
        <v>616</v>
      </c>
      <c r="M146" t="e" cm="1">
        <f t="array" ref="M146">Convert_Decimal(L146)</f>
        <v>#VALUE!</v>
      </c>
      <c r="N146" t="s">
        <v>523</v>
      </c>
      <c r="P146">
        <v>700</v>
      </c>
      <c r="Q146" s="1">
        <v>38518.916666666664</v>
      </c>
      <c r="R146" s="1">
        <v>38546.916666666664</v>
      </c>
      <c r="S146" t="s">
        <v>116</v>
      </c>
      <c r="T146" t="s">
        <v>217</v>
      </c>
      <c r="U146" t="s">
        <v>524</v>
      </c>
      <c r="V146" t="s">
        <v>525</v>
      </c>
      <c r="W146">
        <v>1</v>
      </c>
      <c r="X146">
        <v>0</v>
      </c>
      <c r="Y146" t="b">
        <v>0</v>
      </c>
      <c r="Z146" t="s">
        <v>526</v>
      </c>
      <c r="AA146" t="s">
        <v>41</v>
      </c>
      <c r="AB146" s="1">
        <v>41454.916666666664</v>
      </c>
      <c r="AC146" t="s">
        <v>42</v>
      </c>
      <c r="AD146" t="s">
        <v>43</v>
      </c>
      <c r="AE146" t="s">
        <v>527</v>
      </c>
    </row>
    <row r="147" spans="1:31" x14ac:dyDescent="0.3">
      <c r="A147">
        <v>118170</v>
      </c>
      <c r="B147" t="s">
        <v>521</v>
      </c>
      <c r="C147" t="s">
        <v>210</v>
      </c>
      <c r="D147" t="s">
        <v>211</v>
      </c>
      <c r="E147" t="s">
        <v>212</v>
      </c>
      <c r="H147" t="s">
        <v>33</v>
      </c>
      <c r="I147" t="s">
        <v>220</v>
      </c>
      <c r="J147" t="s">
        <v>522</v>
      </c>
      <c r="K147" t="s">
        <v>222</v>
      </c>
      <c r="L147" t="s">
        <v>616</v>
      </c>
      <c r="M147" t="e" cm="1">
        <f t="array" ref="M147">Convert_Decimal(L147)</f>
        <v>#VALUE!</v>
      </c>
      <c r="N147" t="s">
        <v>523</v>
      </c>
      <c r="P147">
        <v>700</v>
      </c>
      <c r="Q147" s="1">
        <v>38518.916666666664</v>
      </c>
      <c r="R147" s="1">
        <v>38546.916666666664</v>
      </c>
      <c r="S147" t="s">
        <v>116</v>
      </c>
      <c r="T147" t="s">
        <v>217</v>
      </c>
      <c r="U147" t="s">
        <v>524</v>
      </c>
      <c r="V147" t="s">
        <v>525</v>
      </c>
      <c r="W147">
        <v>1</v>
      </c>
      <c r="X147">
        <v>0</v>
      </c>
      <c r="Y147" t="b">
        <v>0</v>
      </c>
      <c r="Z147" t="s">
        <v>526</v>
      </c>
      <c r="AA147" t="s">
        <v>41</v>
      </c>
      <c r="AB147" s="1">
        <v>41454.916666666664</v>
      </c>
      <c r="AC147" t="s">
        <v>42</v>
      </c>
      <c r="AD147" t="s">
        <v>43</v>
      </c>
      <c r="AE147" t="s">
        <v>527</v>
      </c>
    </row>
    <row r="148" spans="1:31" x14ac:dyDescent="0.3">
      <c r="A148">
        <v>118161</v>
      </c>
      <c r="B148" t="s">
        <v>528</v>
      </c>
      <c r="C148" t="s">
        <v>210</v>
      </c>
      <c r="D148" t="s">
        <v>211</v>
      </c>
      <c r="E148" t="s">
        <v>212</v>
      </c>
      <c r="H148" t="s">
        <v>33</v>
      </c>
      <c r="I148" t="s">
        <v>220</v>
      </c>
      <c r="J148" t="s">
        <v>522</v>
      </c>
      <c r="K148" t="s">
        <v>222</v>
      </c>
      <c r="L148" t="s">
        <v>616</v>
      </c>
      <c r="M148" t="e" cm="1">
        <f t="array" ref="M148">Convert_Decimal(L148)</f>
        <v>#VALUE!</v>
      </c>
      <c r="N148" t="s">
        <v>523</v>
      </c>
      <c r="P148">
        <v>700</v>
      </c>
      <c r="Q148" s="1">
        <v>38546.916666666664</v>
      </c>
      <c r="R148" s="1">
        <v>38568.916666666664</v>
      </c>
      <c r="S148" t="s">
        <v>116</v>
      </c>
      <c r="T148" t="s">
        <v>217</v>
      </c>
      <c r="U148" t="s">
        <v>524</v>
      </c>
      <c r="V148" t="s">
        <v>525</v>
      </c>
      <c r="W148">
        <v>1</v>
      </c>
      <c r="X148">
        <v>0</v>
      </c>
      <c r="Y148" t="b">
        <v>1</v>
      </c>
      <c r="Z148" t="s">
        <v>526</v>
      </c>
      <c r="AA148" t="s">
        <v>41</v>
      </c>
      <c r="AB148" s="1">
        <v>41454.916666666664</v>
      </c>
      <c r="AC148" t="s">
        <v>42</v>
      </c>
      <c r="AD148" t="s">
        <v>43</v>
      </c>
      <c r="AE148" t="s">
        <v>527</v>
      </c>
    </row>
    <row r="149" spans="1:31" x14ac:dyDescent="0.3">
      <c r="A149">
        <v>118138</v>
      </c>
      <c r="B149" t="s">
        <v>529</v>
      </c>
      <c r="C149" t="s">
        <v>30</v>
      </c>
      <c r="D149" t="s">
        <v>56</v>
      </c>
      <c r="E149" t="s">
        <v>57</v>
      </c>
      <c r="H149" t="s">
        <v>33</v>
      </c>
      <c r="I149" t="s">
        <v>58</v>
      </c>
      <c r="J149" t="s">
        <v>530</v>
      </c>
      <c r="K149" t="s">
        <v>33</v>
      </c>
      <c r="L149" t="s">
        <v>617</v>
      </c>
      <c r="M149" cm="1">
        <f t="array" ref="M149">Convert_Decimal(L149)</f>
        <v>42.429444444444442</v>
      </c>
      <c r="N149" t="s">
        <v>531</v>
      </c>
      <c r="P149">
        <v>1560</v>
      </c>
      <c r="R149" s="1">
        <v>41854.916666666664</v>
      </c>
      <c r="S149" t="s">
        <v>36</v>
      </c>
      <c r="T149" t="s">
        <v>37</v>
      </c>
      <c r="U149" t="s">
        <v>532</v>
      </c>
      <c r="V149" t="s">
        <v>533</v>
      </c>
      <c r="W149">
        <v>2</v>
      </c>
      <c r="X149">
        <v>1</v>
      </c>
      <c r="Y149" t="b">
        <v>0</v>
      </c>
      <c r="Z149" t="s">
        <v>534</v>
      </c>
      <c r="AA149" t="s">
        <v>41</v>
      </c>
      <c r="AB149" s="1">
        <v>44054.916666666664</v>
      </c>
      <c r="AC149" t="s">
        <v>42</v>
      </c>
      <c r="AD149" t="s">
        <v>43</v>
      </c>
      <c r="AE149" t="s">
        <v>535</v>
      </c>
    </row>
    <row r="150" spans="1:31" x14ac:dyDescent="0.3">
      <c r="A150">
        <v>118124</v>
      </c>
      <c r="B150" t="s">
        <v>536</v>
      </c>
      <c r="C150" t="s">
        <v>30</v>
      </c>
      <c r="D150" t="s">
        <v>56</v>
      </c>
      <c r="E150" t="s">
        <v>57</v>
      </c>
      <c r="H150" t="s">
        <v>33</v>
      </c>
      <c r="I150" t="s">
        <v>58</v>
      </c>
      <c r="J150" t="s">
        <v>59</v>
      </c>
      <c r="K150" t="s">
        <v>33</v>
      </c>
      <c r="L150" t="s">
        <v>540</v>
      </c>
      <c r="M150" cm="1">
        <f t="array" ref="M150">Convert_Decimal(L150)</f>
        <v>42.46</v>
      </c>
      <c r="N150" t="s">
        <v>60</v>
      </c>
      <c r="P150">
        <v>1410</v>
      </c>
      <c r="R150" s="1">
        <v>41853.916666666664</v>
      </c>
      <c r="S150" t="s">
        <v>36</v>
      </c>
      <c r="T150" t="s">
        <v>61</v>
      </c>
      <c r="U150" t="s">
        <v>532</v>
      </c>
      <c r="V150" t="s">
        <v>533</v>
      </c>
      <c r="W150">
        <v>0</v>
      </c>
      <c r="X150">
        <v>3</v>
      </c>
      <c r="Y150" t="b">
        <v>0</v>
      </c>
      <c r="Z150" t="s">
        <v>534</v>
      </c>
      <c r="AA150" t="s">
        <v>41</v>
      </c>
      <c r="AB150" s="1">
        <v>44054.916666666664</v>
      </c>
      <c r="AC150" t="s">
        <v>42</v>
      </c>
      <c r="AD150" t="s">
        <v>43</v>
      </c>
    </row>
    <row r="151" spans="1:31" x14ac:dyDescent="0.3">
      <c r="A151">
        <v>118130</v>
      </c>
      <c r="B151" t="s">
        <v>55</v>
      </c>
      <c r="C151" t="s">
        <v>30</v>
      </c>
      <c r="D151" t="s">
        <v>56</v>
      </c>
      <c r="E151" t="s">
        <v>57</v>
      </c>
      <c r="H151" t="s">
        <v>33</v>
      </c>
      <c r="I151" t="s">
        <v>58</v>
      </c>
      <c r="J151" t="s">
        <v>59</v>
      </c>
      <c r="K151" t="s">
        <v>33</v>
      </c>
      <c r="L151" t="s">
        <v>540</v>
      </c>
      <c r="M151" cm="1">
        <f t="array" ref="M151">Convert_Decimal(L151)</f>
        <v>42.46</v>
      </c>
      <c r="N151" t="s">
        <v>60</v>
      </c>
      <c r="P151">
        <v>1410</v>
      </c>
      <c r="R151" s="1">
        <v>41854.916666666664</v>
      </c>
      <c r="S151" t="s">
        <v>36</v>
      </c>
      <c r="T151" t="s">
        <v>61</v>
      </c>
      <c r="U151" t="s">
        <v>532</v>
      </c>
      <c r="V151" t="s">
        <v>533</v>
      </c>
      <c r="W151">
        <v>4</v>
      </c>
      <c r="X151">
        <v>0</v>
      </c>
      <c r="Y151" t="b">
        <v>0</v>
      </c>
      <c r="Z151" t="s">
        <v>534</v>
      </c>
      <c r="AA151" t="s">
        <v>41</v>
      </c>
      <c r="AB151" s="1">
        <v>44054.916666666664</v>
      </c>
      <c r="AC151" t="s">
        <v>42</v>
      </c>
      <c r="AD151" t="s">
        <v>43</v>
      </c>
      <c r="AE151" t="s">
        <v>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C509-4080-49EA-8967-E36C47F53DAA}">
  <dimension ref="A1:X283"/>
  <sheetViews>
    <sheetView tabSelected="1" workbookViewId="0">
      <selection activeCell="H9" sqref="H9"/>
    </sheetView>
  </sheetViews>
  <sheetFormatPr defaultColWidth="46.33203125" defaultRowHeight="14.4" x14ac:dyDescent="0.3"/>
  <cols>
    <col min="1" max="1" width="9" bestFit="1" customWidth="1"/>
    <col min="2" max="2" width="10.109375" bestFit="1" customWidth="1"/>
    <col min="3" max="3" width="34.33203125" bestFit="1" customWidth="1"/>
    <col min="4" max="4" width="8.6640625" bestFit="1" customWidth="1"/>
    <col min="5" max="5" width="11.88671875" bestFit="1" customWidth="1"/>
    <col min="6" max="6" width="39.6640625" bestFit="1" customWidth="1"/>
    <col min="7" max="7" width="20.5546875" bestFit="1" customWidth="1"/>
    <col min="8" max="8" width="15.44140625" bestFit="1" customWidth="1"/>
    <col min="9" max="9" width="49.88671875" bestFit="1" customWidth="1"/>
    <col min="10" max="10" width="49.88671875" customWidth="1"/>
    <col min="11" max="11" width="12.44140625" bestFit="1" customWidth="1"/>
    <col min="12" max="12" width="12.44140625" customWidth="1"/>
    <col min="13" max="13" width="12.109375" bestFit="1" customWidth="1"/>
    <col min="14" max="14" width="6.5546875" bestFit="1" customWidth="1"/>
    <col min="15" max="16" width="10.44140625" bestFit="1" customWidth="1"/>
    <col min="17" max="17" width="8.33203125" bestFit="1" customWidth="1"/>
    <col min="18" max="18" width="39.88671875" bestFit="1" customWidth="1"/>
    <col min="19" max="19" width="63.88671875" bestFit="1" customWidth="1"/>
    <col min="20" max="20" width="4" bestFit="1" customWidth="1"/>
    <col min="21" max="21" width="3.6640625" bestFit="1" customWidth="1"/>
    <col min="22" max="22" width="12.33203125" bestFit="1" customWidth="1"/>
    <col min="23" max="23" width="12" bestFit="1" customWidth="1"/>
    <col min="24" max="24" width="13.109375" bestFit="1" customWidth="1"/>
  </cols>
  <sheetData>
    <row r="1" spans="1:24" ht="12.9" customHeight="1" x14ac:dyDescent="0.3">
      <c r="A1" s="2" t="s">
        <v>621</v>
      </c>
      <c r="B1" s="2" t="s">
        <v>622</v>
      </c>
      <c r="C1" s="2" t="s">
        <v>623</v>
      </c>
      <c r="D1" s="2" t="s">
        <v>624</v>
      </c>
      <c r="E1" s="2" t="s">
        <v>625</v>
      </c>
      <c r="F1" s="2" t="s">
        <v>626</v>
      </c>
      <c r="G1" s="2" t="s">
        <v>627</v>
      </c>
      <c r="H1" s="2" t="s">
        <v>628</v>
      </c>
      <c r="I1" s="2" t="s">
        <v>629</v>
      </c>
      <c r="J1" s="2" t="s">
        <v>620</v>
      </c>
      <c r="K1" s="2" t="s">
        <v>11</v>
      </c>
      <c r="L1" s="2" t="s">
        <v>842</v>
      </c>
      <c r="M1" s="2" t="s">
        <v>12</v>
      </c>
      <c r="N1" s="2" t="s">
        <v>13</v>
      </c>
      <c r="O1" s="2" t="s">
        <v>630</v>
      </c>
      <c r="P1" s="2" t="s">
        <v>631</v>
      </c>
      <c r="Q1" s="2" t="s">
        <v>632</v>
      </c>
      <c r="R1" s="2" t="s">
        <v>17</v>
      </c>
      <c r="S1" s="2" t="s">
        <v>633</v>
      </c>
      <c r="T1" s="2" t="s">
        <v>20</v>
      </c>
      <c r="U1" s="2" t="s">
        <v>21</v>
      </c>
      <c r="V1" s="2" t="s">
        <v>634</v>
      </c>
      <c r="W1" s="2" t="s">
        <v>635</v>
      </c>
      <c r="X1" s="2" t="s">
        <v>636</v>
      </c>
    </row>
    <row r="2" spans="1:24" ht="12.9" customHeight="1" x14ac:dyDescent="0.3">
      <c r="A2" s="3" t="s">
        <v>637</v>
      </c>
      <c r="B2" s="4">
        <v>13589</v>
      </c>
      <c r="C2" s="3" t="s">
        <v>638</v>
      </c>
      <c r="D2" s="3" t="s">
        <v>639</v>
      </c>
      <c r="E2" s="3" t="s">
        <v>640</v>
      </c>
      <c r="F2" s="3" t="s">
        <v>641</v>
      </c>
      <c r="G2" s="3" t="s">
        <v>642</v>
      </c>
      <c r="H2" s="3" t="s">
        <v>643</v>
      </c>
      <c r="I2" s="3" t="s">
        <v>644</v>
      </c>
      <c r="J2" s="3">
        <v>14.878888888888889</v>
      </c>
      <c r="K2" s="3" t="s">
        <v>645</v>
      </c>
      <c r="L2" s="3">
        <v>61.099444444444444</v>
      </c>
      <c r="M2" s="3" t="s">
        <v>812</v>
      </c>
      <c r="N2" s="4">
        <v>333</v>
      </c>
      <c r="O2" s="5">
        <v>43123</v>
      </c>
      <c r="P2" s="5">
        <v>43130</v>
      </c>
      <c r="Q2" s="3" t="s">
        <v>136</v>
      </c>
      <c r="R2" s="3" t="s">
        <v>41</v>
      </c>
      <c r="S2" s="3" t="s">
        <v>646</v>
      </c>
      <c r="T2" s="4">
        <v>1</v>
      </c>
      <c r="U2" s="4">
        <v>0</v>
      </c>
      <c r="V2" s="4">
        <v>0</v>
      </c>
      <c r="W2" s="3" t="s">
        <v>647</v>
      </c>
      <c r="X2" s="3" t="s">
        <v>43</v>
      </c>
    </row>
    <row r="3" spans="1:24" ht="12.9" customHeight="1" x14ac:dyDescent="0.3">
      <c r="A3" s="3" t="s">
        <v>637</v>
      </c>
      <c r="B3" s="4">
        <v>13590</v>
      </c>
      <c r="C3" s="3" t="s">
        <v>648</v>
      </c>
      <c r="D3" s="3" t="s">
        <v>639</v>
      </c>
      <c r="E3" s="3" t="s">
        <v>640</v>
      </c>
      <c r="F3" s="3" t="s">
        <v>649</v>
      </c>
      <c r="G3" s="3" t="s">
        <v>642</v>
      </c>
      <c r="H3" s="3" t="s">
        <v>650</v>
      </c>
      <c r="I3" s="3" t="s">
        <v>651</v>
      </c>
      <c r="J3" s="3">
        <v>14.740833333333333</v>
      </c>
      <c r="K3" s="3" t="s">
        <v>782</v>
      </c>
      <c r="L3" s="3">
        <v>61.101666666666667</v>
      </c>
      <c r="M3" s="3" t="s">
        <v>813</v>
      </c>
      <c r="N3" s="4">
        <v>658</v>
      </c>
      <c r="O3" s="5">
        <v>43133</v>
      </c>
      <c r="P3" s="5">
        <v>43140</v>
      </c>
      <c r="Q3" s="3" t="s">
        <v>128</v>
      </c>
      <c r="R3" s="3" t="s">
        <v>41</v>
      </c>
      <c r="S3" s="3" t="s">
        <v>652</v>
      </c>
      <c r="T3" s="4">
        <v>0</v>
      </c>
      <c r="U3" s="4">
        <v>1</v>
      </c>
      <c r="V3" s="4">
        <v>0</v>
      </c>
      <c r="W3" s="3" t="s">
        <v>647</v>
      </c>
      <c r="X3" s="3" t="s">
        <v>43</v>
      </c>
    </row>
    <row r="4" spans="1:24" ht="12.9" customHeight="1" x14ac:dyDescent="0.3">
      <c r="A4" s="3" t="s">
        <v>637</v>
      </c>
      <c r="B4" s="4">
        <v>13591</v>
      </c>
      <c r="C4" s="3" t="s">
        <v>653</v>
      </c>
      <c r="D4" s="3" t="s">
        <v>639</v>
      </c>
      <c r="E4" s="3" t="s">
        <v>640</v>
      </c>
      <c r="F4" s="3" t="s">
        <v>654</v>
      </c>
      <c r="G4" s="3" t="s">
        <v>642</v>
      </c>
      <c r="H4" s="3" t="s">
        <v>655</v>
      </c>
      <c r="I4" s="3" t="s">
        <v>644</v>
      </c>
      <c r="J4" s="3">
        <v>14.89</v>
      </c>
      <c r="K4" s="3" t="s">
        <v>783</v>
      </c>
      <c r="L4" s="3">
        <v>61.095277777777781</v>
      </c>
      <c r="M4" s="3" t="s">
        <v>814</v>
      </c>
      <c r="N4" s="4">
        <v>357</v>
      </c>
      <c r="O4" s="5">
        <v>43123</v>
      </c>
      <c r="P4" s="5">
        <v>43130</v>
      </c>
      <c r="Q4" s="3" t="s">
        <v>131</v>
      </c>
      <c r="R4" s="3" t="s">
        <v>41</v>
      </c>
      <c r="S4" s="3" t="s">
        <v>652</v>
      </c>
      <c r="T4" s="4">
        <v>0</v>
      </c>
      <c r="U4" s="4">
        <v>1</v>
      </c>
      <c r="V4" s="4">
        <v>0</v>
      </c>
      <c r="W4" s="3" t="s">
        <v>647</v>
      </c>
      <c r="X4" s="3" t="s">
        <v>43</v>
      </c>
    </row>
    <row r="5" spans="1:24" ht="12.9" customHeight="1" x14ac:dyDescent="0.3">
      <c r="A5" s="3" t="s">
        <v>637</v>
      </c>
      <c r="B5" s="4">
        <v>13592</v>
      </c>
      <c r="C5" s="3" t="s">
        <v>656</v>
      </c>
      <c r="D5" s="3" t="s">
        <v>639</v>
      </c>
      <c r="E5" s="3" t="s">
        <v>640</v>
      </c>
      <c r="F5" s="3" t="s">
        <v>654</v>
      </c>
      <c r="G5" s="3" t="s">
        <v>642</v>
      </c>
      <c r="H5" s="3" t="s">
        <v>657</v>
      </c>
      <c r="I5" s="3" t="s">
        <v>644</v>
      </c>
      <c r="J5" s="3">
        <v>14.892777777777777</v>
      </c>
      <c r="K5" s="3" t="s">
        <v>784</v>
      </c>
      <c r="L5" s="3">
        <v>61.101944444444442</v>
      </c>
      <c r="M5" s="3" t="s">
        <v>815</v>
      </c>
      <c r="N5" s="4">
        <v>374</v>
      </c>
      <c r="O5" s="5">
        <v>43123</v>
      </c>
      <c r="P5" s="5">
        <v>43130</v>
      </c>
      <c r="Q5" s="3" t="s">
        <v>136</v>
      </c>
      <c r="R5" s="3" t="s">
        <v>41</v>
      </c>
      <c r="S5" s="3" t="s">
        <v>652</v>
      </c>
      <c r="T5" s="4">
        <v>0</v>
      </c>
      <c r="U5" s="4">
        <v>1</v>
      </c>
      <c r="V5" s="4">
        <v>0</v>
      </c>
      <c r="W5" s="3" t="s">
        <v>647</v>
      </c>
      <c r="X5" s="3" t="s">
        <v>43</v>
      </c>
    </row>
    <row r="6" spans="1:24" ht="12.9" customHeight="1" x14ac:dyDescent="0.3">
      <c r="A6" s="3" t="s">
        <v>637</v>
      </c>
      <c r="B6" s="4">
        <v>13593</v>
      </c>
      <c r="C6" s="3" t="s">
        <v>658</v>
      </c>
      <c r="D6" s="3" t="s">
        <v>639</v>
      </c>
      <c r="E6" s="3" t="s">
        <v>640</v>
      </c>
      <c r="F6" s="3" t="s">
        <v>641</v>
      </c>
      <c r="G6" s="3" t="s">
        <v>642</v>
      </c>
      <c r="H6" s="3" t="s">
        <v>643</v>
      </c>
      <c r="I6" s="3" t="s">
        <v>644</v>
      </c>
      <c r="J6" s="3">
        <v>14.878888888888889</v>
      </c>
      <c r="K6" s="3" t="s">
        <v>645</v>
      </c>
      <c r="L6" s="3">
        <v>61.099444444444444</v>
      </c>
      <c r="M6" s="3" t="s">
        <v>812</v>
      </c>
      <c r="N6" s="4">
        <v>333</v>
      </c>
      <c r="O6" s="5">
        <v>43123</v>
      </c>
      <c r="P6" s="5">
        <v>43130</v>
      </c>
      <c r="Q6" s="3" t="s">
        <v>131</v>
      </c>
      <c r="R6" s="3" t="s">
        <v>41</v>
      </c>
      <c r="S6" s="3" t="s">
        <v>652</v>
      </c>
      <c r="T6" s="4">
        <v>0</v>
      </c>
      <c r="U6" s="4">
        <v>1</v>
      </c>
      <c r="V6" s="4">
        <v>0</v>
      </c>
      <c r="W6" s="3" t="s">
        <v>647</v>
      </c>
      <c r="X6" s="3" t="s">
        <v>43</v>
      </c>
    </row>
    <row r="7" spans="1:24" ht="12.9" customHeight="1" x14ac:dyDescent="0.3">
      <c r="A7" s="3" t="s">
        <v>637</v>
      </c>
      <c r="B7" s="4">
        <v>13594</v>
      </c>
      <c r="C7" s="3" t="s">
        <v>659</v>
      </c>
      <c r="D7" s="3" t="s">
        <v>639</v>
      </c>
      <c r="E7" s="3" t="s">
        <v>640</v>
      </c>
      <c r="F7" s="3" t="s">
        <v>641</v>
      </c>
      <c r="G7" s="3" t="s">
        <v>642</v>
      </c>
      <c r="H7" s="3" t="s">
        <v>660</v>
      </c>
      <c r="I7" s="3" t="s">
        <v>644</v>
      </c>
      <c r="J7" s="3">
        <v>14.876944444444444</v>
      </c>
      <c r="K7" s="3" t="s">
        <v>785</v>
      </c>
      <c r="L7" s="3">
        <v>61.101388888888891</v>
      </c>
      <c r="M7" s="3" t="s">
        <v>816</v>
      </c>
      <c r="N7" s="4">
        <v>337</v>
      </c>
      <c r="O7" s="5">
        <v>43123</v>
      </c>
      <c r="P7" s="5">
        <v>43130</v>
      </c>
      <c r="Q7" s="3" t="s">
        <v>136</v>
      </c>
      <c r="R7" s="3" t="s">
        <v>41</v>
      </c>
      <c r="S7" s="3" t="s">
        <v>652</v>
      </c>
      <c r="T7" s="4">
        <v>0</v>
      </c>
      <c r="U7" s="4">
        <v>2</v>
      </c>
      <c r="V7" s="4">
        <v>0</v>
      </c>
      <c r="W7" s="3" t="s">
        <v>647</v>
      </c>
      <c r="X7" s="3" t="s">
        <v>43</v>
      </c>
    </row>
    <row r="8" spans="1:24" ht="12.9" customHeight="1" x14ac:dyDescent="0.3">
      <c r="A8" s="3" t="s">
        <v>637</v>
      </c>
      <c r="B8" s="4">
        <v>13595</v>
      </c>
      <c r="C8" s="3" t="s">
        <v>661</v>
      </c>
      <c r="D8" s="3" t="s">
        <v>639</v>
      </c>
      <c r="E8" s="3" t="s">
        <v>640</v>
      </c>
      <c r="F8" s="3" t="s">
        <v>662</v>
      </c>
      <c r="G8" s="3" t="s">
        <v>642</v>
      </c>
      <c r="H8" s="3" t="s">
        <v>663</v>
      </c>
      <c r="I8" s="3" t="s">
        <v>664</v>
      </c>
      <c r="J8" s="3">
        <v>14.761944444444444</v>
      </c>
      <c r="K8" s="3" t="s">
        <v>786</v>
      </c>
      <c r="L8" s="3">
        <v>61.083333333333336</v>
      </c>
      <c r="M8" s="3" t="s">
        <v>817</v>
      </c>
      <c r="N8" s="4">
        <v>497</v>
      </c>
      <c r="O8" s="5">
        <v>43126</v>
      </c>
      <c r="P8" s="5">
        <v>43133</v>
      </c>
      <c r="Q8" s="3" t="s">
        <v>136</v>
      </c>
      <c r="R8" s="3" t="s">
        <v>41</v>
      </c>
      <c r="S8" s="3" t="s">
        <v>652</v>
      </c>
      <c r="T8" s="4">
        <v>0</v>
      </c>
      <c r="U8" s="4">
        <v>2</v>
      </c>
      <c r="V8" s="4">
        <v>0</v>
      </c>
      <c r="W8" s="3" t="s">
        <v>647</v>
      </c>
      <c r="X8" s="3" t="s">
        <v>43</v>
      </c>
    </row>
    <row r="9" spans="1:24" ht="12.9" customHeight="1" x14ac:dyDescent="0.3">
      <c r="A9" s="3" t="s">
        <v>637</v>
      </c>
      <c r="B9" s="4">
        <v>13596</v>
      </c>
      <c r="C9" s="3" t="s">
        <v>665</v>
      </c>
      <c r="D9" s="3" t="s">
        <v>639</v>
      </c>
      <c r="E9" s="3" t="s">
        <v>640</v>
      </c>
      <c r="F9" s="3" t="s">
        <v>666</v>
      </c>
      <c r="G9" s="3" t="s">
        <v>642</v>
      </c>
      <c r="H9" s="3" t="s">
        <v>667</v>
      </c>
      <c r="I9" s="3" t="s">
        <v>644</v>
      </c>
      <c r="J9" s="3">
        <v>14.731666666666667</v>
      </c>
      <c r="K9" s="3" t="s">
        <v>787</v>
      </c>
      <c r="L9" s="3">
        <v>61.205833333333331</v>
      </c>
      <c r="M9" s="3" t="s">
        <v>818</v>
      </c>
      <c r="N9" s="4">
        <v>554</v>
      </c>
      <c r="O9" s="5">
        <v>43122</v>
      </c>
      <c r="P9" s="5">
        <v>43129</v>
      </c>
      <c r="Q9" s="3" t="s">
        <v>131</v>
      </c>
      <c r="R9" s="3" t="s">
        <v>668</v>
      </c>
      <c r="S9" s="3" t="s">
        <v>652</v>
      </c>
      <c r="T9" s="4">
        <v>0</v>
      </c>
      <c r="U9" s="4">
        <v>1</v>
      </c>
      <c r="V9" s="4">
        <v>0</v>
      </c>
      <c r="W9" s="3" t="s">
        <v>647</v>
      </c>
      <c r="X9" s="3" t="s">
        <v>43</v>
      </c>
    </row>
    <row r="10" spans="1:24" ht="12.9" customHeight="1" x14ac:dyDescent="0.3">
      <c r="A10" s="3" t="s">
        <v>637</v>
      </c>
      <c r="B10" s="4">
        <v>13597</v>
      </c>
      <c r="C10" s="3" t="s">
        <v>665</v>
      </c>
      <c r="D10" s="3" t="s">
        <v>639</v>
      </c>
      <c r="E10" s="3" t="s">
        <v>640</v>
      </c>
      <c r="F10" s="3" t="s">
        <v>666</v>
      </c>
      <c r="G10" s="3" t="s">
        <v>642</v>
      </c>
      <c r="H10" s="3" t="s">
        <v>667</v>
      </c>
      <c r="I10" s="3" t="s">
        <v>644</v>
      </c>
      <c r="J10" s="3">
        <v>14.731666666666667</v>
      </c>
      <c r="K10" s="3" t="s">
        <v>787</v>
      </c>
      <c r="L10" s="3">
        <v>61.205833333333331</v>
      </c>
      <c r="M10" s="3" t="s">
        <v>818</v>
      </c>
      <c r="N10" s="4">
        <v>554</v>
      </c>
      <c r="O10" s="5">
        <v>43122</v>
      </c>
      <c r="P10" s="5">
        <v>43129</v>
      </c>
      <c r="Q10" s="3" t="s">
        <v>131</v>
      </c>
      <c r="R10" s="3" t="s">
        <v>668</v>
      </c>
      <c r="S10" s="3" t="s">
        <v>652</v>
      </c>
      <c r="T10" s="4">
        <v>0</v>
      </c>
      <c r="U10" s="4">
        <v>2</v>
      </c>
      <c r="V10" s="4">
        <v>0</v>
      </c>
      <c r="W10" s="3" t="s">
        <v>647</v>
      </c>
      <c r="X10" s="3" t="s">
        <v>43</v>
      </c>
    </row>
    <row r="11" spans="1:24" ht="12.9" customHeight="1" x14ac:dyDescent="0.3">
      <c r="A11" s="3" t="s">
        <v>637</v>
      </c>
      <c r="B11" s="4">
        <v>13598</v>
      </c>
      <c r="C11" s="3" t="s">
        <v>669</v>
      </c>
      <c r="D11" s="3" t="s">
        <v>639</v>
      </c>
      <c r="E11" s="3" t="s">
        <v>640</v>
      </c>
      <c r="F11" s="3" t="s">
        <v>666</v>
      </c>
      <c r="G11" s="3" t="s">
        <v>642</v>
      </c>
      <c r="H11" s="3" t="s">
        <v>667</v>
      </c>
      <c r="I11" s="3" t="s">
        <v>644</v>
      </c>
      <c r="J11" s="3">
        <v>14.731666666666667</v>
      </c>
      <c r="K11" s="3" t="s">
        <v>787</v>
      </c>
      <c r="L11" s="3">
        <v>61.205833333333331</v>
      </c>
      <c r="M11" s="3" t="s">
        <v>818</v>
      </c>
      <c r="N11" s="4">
        <v>554</v>
      </c>
      <c r="O11" s="5">
        <v>43122</v>
      </c>
      <c r="P11" s="5">
        <v>43129</v>
      </c>
      <c r="Q11" s="3" t="s">
        <v>128</v>
      </c>
      <c r="R11" s="3" t="s">
        <v>668</v>
      </c>
      <c r="S11" s="3" t="s">
        <v>652</v>
      </c>
      <c r="T11" s="4">
        <v>0</v>
      </c>
      <c r="U11" s="4">
        <v>1</v>
      </c>
      <c r="V11" s="4">
        <v>0</v>
      </c>
      <c r="W11" s="3" t="s">
        <v>647</v>
      </c>
      <c r="X11" s="3" t="s">
        <v>43</v>
      </c>
    </row>
    <row r="12" spans="1:24" ht="12.9" customHeight="1" x14ac:dyDescent="0.3">
      <c r="A12" s="3" t="s">
        <v>637</v>
      </c>
      <c r="B12" s="4">
        <v>13599</v>
      </c>
      <c r="C12" s="3" t="s">
        <v>670</v>
      </c>
      <c r="D12" s="3" t="s">
        <v>639</v>
      </c>
      <c r="E12" s="3" t="s">
        <v>640</v>
      </c>
      <c r="F12" s="3" t="s">
        <v>666</v>
      </c>
      <c r="G12" s="3" t="s">
        <v>642</v>
      </c>
      <c r="H12" s="3" t="s">
        <v>671</v>
      </c>
      <c r="I12" s="3" t="s">
        <v>644</v>
      </c>
      <c r="J12" s="3">
        <v>14.7425</v>
      </c>
      <c r="K12" s="3" t="s">
        <v>788</v>
      </c>
      <c r="L12" s="3">
        <v>61.215555555555554</v>
      </c>
      <c r="M12" s="3" t="s">
        <v>819</v>
      </c>
      <c r="N12" s="4">
        <v>599</v>
      </c>
      <c r="O12" s="5">
        <v>43122</v>
      </c>
      <c r="P12" s="5">
        <v>43129</v>
      </c>
      <c r="Q12" s="3" t="s">
        <v>136</v>
      </c>
      <c r="R12" s="3" t="s">
        <v>668</v>
      </c>
      <c r="S12" s="3" t="s">
        <v>652</v>
      </c>
      <c r="T12" s="4">
        <v>0</v>
      </c>
      <c r="U12" s="4">
        <v>1</v>
      </c>
      <c r="V12" s="4">
        <v>0</v>
      </c>
      <c r="W12" s="3" t="s">
        <v>647</v>
      </c>
      <c r="X12" s="3" t="s">
        <v>43</v>
      </c>
    </row>
    <row r="13" spans="1:24" ht="12.9" customHeight="1" x14ac:dyDescent="0.3">
      <c r="A13" s="3" t="s">
        <v>637</v>
      </c>
      <c r="B13" s="4">
        <v>13600</v>
      </c>
      <c r="C13" s="3" t="s">
        <v>672</v>
      </c>
      <c r="D13" s="3" t="s">
        <v>639</v>
      </c>
      <c r="E13" s="3" t="s">
        <v>640</v>
      </c>
      <c r="F13" s="3" t="s">
        <v>673</v>
      </c>
      <c r="G13" s="3" t="s">
        <v>642</v>
      </c>
      <c r="H13" s="3" t="s">
        <v>674</v>
      </c>
      <c r="I13" s="3" t="s">
        <v>664</v>
      </c>
      <c r="J13" s="3">
        <v>14.820833333333333</v>
      </c>
      <c r="K13" s="3" t="s">
        <v>789</v>
      </c>
      <c r="L13" s="3">
        <v>61.136666666666663</v>
      </c>
      <c r="M13" s="3" t="s">
        <v>820</v>
      </c>
      <c r="N13" s="4">
        <v>524</v>
      </c>
      <c r="O13" s="5">
        <v>43124</v>
      </c>
      <c r="P13" s="5">
        <v>43131</v>
      </c>
      <c r="Q13" s="3" t="s">
        <v>136</v>
      </c>
      <c r="R13" s="3" t="s">
        <v>41</v>
      </c>
      <c r="S13" s="3" t="s">
        <v>652</v>
      </c>
      <c r="T13" s="4">
        <v>0</v>
      </c>
      <c r="U13" s="4">
        <v>1</v>
      </c>
      <c r="V13" s="4">
        <v>0</v>
      </c>
      <c r="W13" s="3" t="s">
        <v>647</v>
      </c>
      <c r="X13" s="3" t="s">
        <v>43</v>
      </c>
    </row>
    <row r="14" spans="1:24" ht="12.9" customHeight="1" x14ac:dyDescent="0.3">
      <c r="A14" s="3" t="s">
        <v>637</v>
      </c>
      <c r="B14" s="4">
        <v>13601</v>
      </c>
      <c r="C14" s="3" t="s">
        <v>675</v>
      </c>
      <c r="D14" s="3" t="s">
        <v>639</v>
      </c>
      <c r="E14" s="3" t="s">
        <v>640</v>
      </c>
      <c r="F14" s="3" t="s">
        <v>673</v>
      </c>
      <c r="G14" s="3" t="s">
        <v>642</v>
      </c>
      <c r="H14" s="3" t="s">
        <v>676</v>
      </c>
      <c r="I14" s="3" t="s">
        <v>664</v>
      </c>
      <c r="J14" s="3">
        <v>14.829444444444444</v>
      </c>
      <c r="K14" s="3" t="s">
        <v>790</v>
      </c>
      <c r="L14" s="3">
        <v>61.136944444444445</v>
      </c>
      <c r="M14" s="3" t="s">
        <v>821</v>
      </c>
      <c r="N14" s="4">
        <v>533</v>
      </c>
      <c r="O14" s="5">
        <v>43124</v>
      </c>
      <c r="P14" s="5">
        <v>43131</v>
      </c>
      <c r="Q14" s="3" t="s">
        <v>136</v>
      </c>
      <c r="R14" s="3" t="s">
        <v>41</v>
      </c>
      <c r="S14" s="3" t="s">
        <v>652</v>
      </c>
      <c r="T14" s="4">
        <v>0</v>
      </c>
      <c r="U14" s="4">
        <v>1</v>
      </c>
      <c r="V14" s="4">
        <v>0</v>
      </c>
      <c r="W14" s="3" t="s">
        <v>647</v>
      </c>
      <c r="X14" s="3" t="s">
        <v>43</v>
      </c>
    </row>
    <row r="15" spans="1:24" ht="12.9" customHeight="1" x14ac:dyDescent="0.3">
      <c r="A15" s="3" t="s">
        <v>637</v>
      </c>
      <c r="B15" s="4">
        <v>13602</v>
      </c>
      <c r="C15" s="3" t="s">
        <v>677</v>
      </c>
      <c r="D15" s="3" t="s">
        <v>639</v>
      </c>
      <c r="E15" s="3" t="s">
        <v>640</v>
      </c>
      <c r="F15" s="3" t="s">
        <v>673</v>
      </c>
      <c r="G15" s="3" t="s">
        <v>642</v>
      </c>
      <c r="H15" s="3" t="s">
        <v>678</v>
      </c>
      <c r="I15" s="3" t="s">
        <v>679</v>
      </c>
      <c r="J15" s="3">
        <v>14.695</v>
      </c>
      <c r="K15" s="3" t="s">
        <v>791</v>
      </c>
      <c r="L15" s="3">
        <v>61.130277777777778</v>
      </c>
      <c r="M15" s="3" t="s">
        <v>822</v>
      </c>
      <c r="N15" s="4">
        <v>529</v>
      </c>
      <c r="O15" s="5">
        <v>43124</v>
      </c>
      <c r="P15" s="5">
        <v>43131</v>
      </c>
      <c r="Q15" s="3" t="s">
        <v>136</v>
      </c>
      <c r="R15" s="3" t="s">
        <v>41</v>
      </c>
      <c r="S15" s="3" t="s">
        <v>652</v>
      </c>
      <c r="T15" s="4">
        <v>0</v>
      </c>
      <c r="U15" s="4">
        <v>1</v>
      </c>
      <c r="V15" s="4">
        <v>0</v>
      </c>
      <c r="W15" s="3" t="s">
        <v>647</v>
      </c>
      <c r="X15" s="3" t="s">
        <v>43</v>
      </c>
    </row>
    <row r="16" spans="1:24" ht="12.9" customHeight="1" x14ac:dyDescent="0.3">
      <c r="A16" s="3" t="s">
        <v>637</v>
      </c>
      <c r="B16" s="4">
        <v>13603</v>
      </c>
      <c r="C16" s="3" t="s">
        <v>680</v>
      </c>
      <c r="D16" s="3" t="s">
        <v>639</v>
      </c>
      <c r="E16" s="3" t="s">
        <v>640</v>
      </c>
      <c r="F16" s="3" t="s">
        <v>681</v>
      </c>
      <c r="G16" s="3" t="s">
        <v>642</v>
      </c>
      <c r="H16" s="3" t="s">
        <v>682</v>
      </c>
      <c r="I16" s="3" t="s">
        <v>683</v>
      </c>
      <c r="J16" s="3">
        <v>14.791388888888889</v>
      </c>
      <c r="K16" s="3" t="s">
        <v>792</v>
      </c>
      <c r="L16" s="3">
        <v>61.163611111111109</v>
      </c>
      <c r="M16" s="3" t="s">
        <v>823</v>
      </c>
      <c r="N16" s="4">
        <v>585</v>
      </c>
      <c r="O16" s="5">
        <v>43125</v>
      </c>
      <c r="P16" s="5">
        <v>43132</v>
      </c>
      <c r="Q16" s="3" t="s">
        <v>131</v>
      </c>
      <c r="R16" s="3" t="s">
        <v>41</v>
      </c>
      <c r="S16" s="3" t="s">
        <v>652</v>
      </c>
      <c r="T16" s="4">
        <v>0</v>
      </c>
      <c r="U16" s="4">
        <v>1</v>
      </c>
      <c r="V16" s="4">
        <v>0</v>
      </c>
      <c r="W16" s="3" t="s">
        <v>647</v>
      </c>
      <c r="X16" s="3" t="s">
        <v>43</v>
      </c>
    </row>
    <row r="17" spans="1:24" ht="12.9" customHeight="1" x14ac:dyDescent="0.3">
      <c r="A17" s="3" t="s">
        <v>637</v>
      </c>
      <c r="B17" s="4">
        <v>13604</v>
      </c>
      <c r="C17" s="3" t="s">
        <v>684</v>
      </c>
      <c r="D17" s="3" t="s">
        <v>639</v>
      </c>
      <c r="E17" s="3" t="s">
        <v>640</v>
      </c>
      <c r="F17" s="3" t="s">
        <v>681</v>
      </c>
      <c r="G17" s="3" t="s">
        <v>642</v>
      </c>
      <c r="H17" s="3" t="s">
        <v>685</v>
      </c>
      <c r="I17" s="3" t="s">
        <v>686</v>
      </c>
      <c r="J17" s="3">
        <v>14.819722222222222</v>
      </c>
      <c r="K17" s="3" t="s">
        <v>793</v>
      </c>
      <c r="L17" s="3">
        <v>61.215000000000003</v>
      </c>
      <c r="M17" s="3" t="s">
        <v>824</v>
      </c>
      <c r="N17" s="4">
        <v>609</v>
      </c>
      <c r="O17" s="5">
        <v>43125</v>
      </c>
      <c r="P17" s="5">
        <v>43132</v>
      </c>
      <c r="Q17" s="3" t="s">
        <v>136</v>
      </c>
      <c r="R17" s="3" t="s">
        <v>41</v>
      </c>
      <c r="S17" s="3" t="s">
        <v>652</v>
      </c>
      <c r="T17" s="4">
        <v>0</v>
      </c>
      <c r="U17" s="4">
        <v>2</v>
      </c>
      <c r="V17" s="4">
        <v>0</v>
      </c>
      <c r="W17" s="3" t="s">
        <v>647</v>
      </c>
      <c r="X17" s="3" t="s">
        <v>43</v>
      </c>
    </row>
    <row r="18" spans="1:24" ht="12.9" customHeight="1" x14ac:dyDescent="0.3">
      <c r="A18" s="3" t="s">
        <v>637</v>
      </c>
      <c r="B18" s="4">
        <v>13605</v>
      </c>
      <c r="C18" s="3" t="s">
        <v>672</v>
      </c>
      <c r="D18" s="3" t="s">
        <v>639</v>
      </c>
      <c r="E18" s="3" t="s">
        <v>640</v>
      </c>
      <c r="F18" s="3" t="s">
        <v>673</v>
      </c>
      <c r="G18" s="3" t="s">
        <v>642</v>
      </c>
      <c r="H18" s="3" t="s">
        <v>674</v>
      </c>
      <c r="I18" s="3" t="s">
        <v>664</v>
      </c>
      <c r="J18" s="3">
        <v>14.820833333333333</v>
      </c>
      <c r="K18" s="3" t="s">
        <v>789</v>
      </c>
      <c r="L18" s="3">
        <v>61.136666666666663</v>
      </c>
      <c r="M18" s="3" t="s">
        <v>820</v>
      </c>
      <c r="N18" s="4">
        <v>524</v>
      </c>
      <c r="O18" s="5">
        <v>43124</v>
      </c>
      <c r="P18" s="5">
        <v>43131</v>
      </c>
      <c r="Q18" s="3" t="s">
        <v>136</v>
      </c>
      <c r="R18" s="3" t="s">
        <v>41</v>
      </c>
      <c r="S18" s="3" t="s">
        <v>687</v>
      </c>
      <c r="T18" s="4">
        <v>0</v>
      </c>
      <c r="U18" s="4">
        <v>1</v>
      </c>
      <c r="V18" s="4">
        <v>0</v>
      </c>
      <c r="W18" s="3" t="s">
        <v>647</v>
      </c>
      <c r="X18" s="3" t="s">
        <v>43</v>
      </c>
    </row>
    <row r="19" spans="1:24" ht="12.9" customHeight="1" x14ac:dyDescent="0.3">
      <c r="A19" s="3" t="s">
        <v>637</v>
      </c>
      <c r="B19" s="4">
        <v>13606</v>
      </c>
      <c r="C19" s="3" t="s">
        <v>688</v>
      </c>
      <c r="D19" s="3" t="s">
        <v>639</v>
      </c>
      <c r="E19" s="3" t="s">
        <v>640</v>
      </c>
      <c r="F19" s="3" t="s">
        <v>681</v>
      </c>
      <c r="G19" s="3" t="s">
        <v>642</v>
      </c>
      <c r="H19" s="3" t="s">
        <v>33</v>
      </c>
      <c r="I19" s="3" t="s">
        <v>689</v>
      </c>
      <c r="J19" s="3">
        <v>15.914999999999999</v>
      </c>
      <c r="K19" s="3" t="s">
        <v>794</v>
      </c>
      <c r="L19" s="3">
        <v>61.244722222222222</v>
      </c>
      <c r="M19" s="3" t="s">
        <v>825</v>
      </c>
      <c r="N19" s="4">
        <v>630</v>
      </c>
      <c r="O19" s="6"/>
      <c r="P19" s="5">
        <v>43132</v>
      </c>
      <c r="Q19" s="3" t="s">
        <v>690</v>
      </c>
      <c r="R19" s="3" t="s">
        <v>41</v>
      </c>
      <c r="S19" s="3" t="s">
        <v>691</v>
      </c>
      <c r="T19" s="4">
        <v>1</v>
      </c>
      <c r="U19" s="4">
        <v>0</v>
      </c>
      <c r="V19" s="4">
        <v>0</v>
      </c>
      <c r="W19" s="3" t="s">
        <v>647</v>
      </c>
      <c r="X19" s="3" t="s">
        <v>43</v>
      </c>
    </row>
    <row r="20" spans="1:24" ht="12.9" customHeight="1" x14ac:dyDescent="0.3">
      <c r="A20" s="3" t="s">
        <v>637</v>
      </c>
      <c r="B20" s="4">
        <v>13607</v>
      </c>
      <c r="C20" s="3" t="s">
        <v>692</v>
      </c>
      <c r="D20" s="3" t="s">
        <v>639</v>
      </c>
      <c r="E20" s="3" t="s">
        <v>640</v>
      </c>
      <c r="F20" s="3" t="s">
        <v>649</v>
      </c>
      <c r="G20" s="3" t="s">
        <v>642</v>
      </c>
      <c r="H20" s="3" t="s">
        <v>33</v>
      </c>
      <c r="I20" s="3" t="s">
        <v>693</v>
      </c>
      <c r="J20" s="3">
        <v>14.744166666666667</v>
      </c>
      <c r="K20" s="3" t="s">
        <v>795</v>
      </c>
      <c r="L20" s="3">
        <v>61.246944444444445</v>
      </c>
      <c r="M20" s="3" t="s">
        <v>826</v>
      </c>
      <c r="N20" s="4">
        <v>660</v>
      </c>
      <c r="O20" s="6"/>
      <c r="P20" s="5">
        <v>43133</v>
      </c>
      <c r="Q20" s="3" t="s">
        <v>36</v>
      </c>
      <c r="R20" s="3" t="s">
        <v>196</v>
      </c>
      <c r="S20" s="3" t="s">
        <v>694</v>
      </c>
      <c r="T20" s="4">
        <v>1</v>
      </c>
      <c r="U20" s="4">
        <v>0</v>
      </c>
      <c r="V20" s="4">
        <v>0</v>
      </c>
      <c r="W20" s="3" t="s">
        <v>647</v>
      </c>
      <c r="X20" s="3" t="s">
        <v>43</v>
      </c>
    </row>
    <row r="21" spans="1:24" ht="12.9" customHeight="1" x14ac:dyDescent="0.3">
      <c r="A21" s="3" t="s">
        <v>637</v>
      </c>
      <c r="B21" s="4">
        <v>13608</v>
      </c>
      <c r="C21" s="3" t="s">
        <v>695</v>
      </c>
      <c r="D21" s="3" t="s">
        <v>639</v>
      </c>
      <c r="E21" s="3" t="s">
        <v>640</v>
      </c>
      <c r="F21" s="3" t="s">
        <v>649</v>
      </c>
      <c r="G21" s="3" t="s">
        <v>642</v>
      </c>
      <c r="H21" s="3" t="s">
        <v>650</v>
      </c>
      <c r="I21" s="3" t="s">
        <v>651</v>
      </c>
      <c r="J21" s="3">
        <v>14.740833333333333</v>
      </c>
      <c r="K21" s="3" t="s">
        <v>782</v>
      </c>
      <c r="L21" s="3">
        <v>61.101666666666667</v>
      </c>
      <c r="M21" s="3" t="s">
        <v>813</v>
      </c>
      <c r="N21" s="4">
        <v>658</v>
      </c>
      <c r="O21" s="5">
        <v>43133</v>
      </c>
      <c r="P21" s="5">
        <v>43140</v>
      </c>
      <c r="Q21" s="3" t="s">
        <v>136</v>
      </c>
      <c r="R21" s="3" t="s">
        <v>41</v>
      </c>
      <c r="S21" s="3" t="s">
        <v>694</v>
      </c>
      <c r="T21" s="4">
        <v>0</v>
      </c>
      <c r="U21" s="4">
        <v>1</v>
      </c>
      <c r="V21" s="4">
        <v>0</v>
      </c>
      <c r="W21" s="3" t="s">
        <v>647</v>
      </c>
      <c r="X21" s="3" t="s">
        <v>43</v>
      </c>
    </row>
    <row r="22" spans="1:24" ht="12.9" customHeight="1" x14ac:dyDescent="0.3">
      <c r="A22" s="3" t="s">
        <v>637</v>
      </c>
      <c r="B22" s="4">
        <v>13609</v>
      </c>
      <c r="C22" s="3" t="s">
        <v>695</v>
      </c>
      <c r="D22" s="3" t="s">
        <v>639</v>
      </c>
      <c r="E22" s="3" t="s">
        <v>640</v>
      </c>
      <c r="F22" s="3" t="s">
        <v>649</v>
      </c>
      <c r="G22" s="3" t="s">
        <v>642</v>
      </c>
      <c r="H22" s="3" t="s">
        <v>650</v>
      </c>
      <c r="I22" s="3" t="s">
        <v>651</v>
      </c>
      <c r="J22" s="3">
        <v>14.740833333333333</v>
      </c>
      <c r="K22" s="3" t="s">
        <v>782</v>
      </c>
      <c r="L22" s="3">
        <v>61.101666666666667</v>
      </c>
      <c r="M22" s="3" t="s">
        <v>813</v>
      </c>
      <c r="N22" s="4">
        <v>658</v>
      </c>
      <c r="O22" s="5">
        <v>43133</v>
      </c>
      <c r="P22" s="5">
        <v>43140</v>
      </c>
      <c r="Q22" s="3" t="s">
        <v>136</v>
      </c>
      <c r="R22" s="3" t="s">
        <v>41</v>
      </c>
      <c r="S22" s="3" t="s">
        <v>694</v>
      </c>
      <c r="T22" s="4">
        <v>0</v>
      </c>
      <c r="U22" s="4">
        <v>1</v>
      </c>
      <c r="V22" s="4">
        <v>0</v>
      </c>
      <c r="W22" s="3" t="s">
        <v>647</v>
      </c>
      <c r="X22" s="3" t="s">
        <v>43</v>
      </c>
    </row>
    <row r="23" spans="1:24" ht="12.9" customHeight="1" x14ac:dyDescent="0.3">
      <c r="A23" s="3" t="s">
        <v>637</v>
      </c>
      <c r="B23" s="4">
        <v>13610</v>
      </c>
      <c r="C23" s="3" t="s">
        <v>696</v>
      </c>
      <c r="D23" s="3" t="s">
        <v>639</v>
      </c>
      <c r="E23" s="3" t="s">
        <v>640</v>
      </c>
      <c r="F23" s="3" t="s">
        <v>649</v>
      </c>
      <c r="G23" s="3" t="s">
        <v>642</v>
      </c>
      <c r="H23" s="3" t="s">
        <v>697</v>
      </c>
      <c r="I23" s="3" t="s">
        <v>698</v>
      </c>
      <c r="J23" s="3">
        <v>14.741388888888888</v>
      </c>
      <c r="K23" s="3" t="s">
        <v>796</v>
      </c>
      <c r="L23" s="3">
        <v>61.101111111111109</v>
      </c>
      <c r="M23" s="3" t="s">
        <v>827</v>
      </c>
      <c r="N23" s="4">
        <v>657</v>
      </c>
      <c r="O23" s="5">
        <v>43133</v>
      </c>
      <c r="P23" s="5">
        <v>43140</v>
      </c>
      <c r="Q23" s="3" t="s">
        <v>136</v>
      </c>
      <c r="R23" s="3" t="s">
        <v>41</v>
      </c>
      <c r="S23" s="3" t="s">
        <v>694</v>
      </c>
      <c r="T23" s="4">
        <v>9</v>
      </c>
      <c r="U23" s="4">
        <v>1</v>
      </c>
      <c r="V23" s="4">
        <v>0</v>
      </c>
      <c r="W23" s="3" t="s">
        <v>647</v>
      </c>
      <c r="X23" s="3" t="s">
        <v>43</v>
      </c>
    </row>
    <row r="24" spans="1:24" ht="12.9" customHeight="1" x14ac:dyDescent="0.3">
      <c r="A24" s="3" t="s">
        <v>637</v>
      </c>
      <c r="B24" s="4">
        <v>13611</v>
      </c>
      <c r="C24" s="3" t="s">
        <v>699</v>
      </c>
      <c r="D24" s="3" t="s">
        <v>639</v>
      </c>
      <c r="E24" s="3" t="s">
        <v>640</v>
      </c>
      <c r="F24" s="3" t="s">
        <v>700</v>
      </c>
      <c r="G24" s="3" t="s">
        <v>642</v>
      </c>
      <c r="H24" s="3" t="s">
        <v>701</v>
      </c>
      <c r="I24" s="3" t="s">
        <v>702</v>
      </c>
      <c r="J24" s="3">
        <v>14.795</v>
      </c>
      <c r="K24" s="3" t="s">
        <v>797</v>
      </c>
      <c r="L24" s="3">
        <v>61.194166666666668</v>
      </c>
      <c r="M24" s="3" t="s">
        <v>828</v>
      </c>
      <c r="N24" s="4">
        <v>453</v>
      </c>
      <c r="O24" s="5">
        <v>43126</v>
      </c>
      <c r="P24" s="5">
        <v>43133</v>
      </c>
      <c r="Q24" s="3" t="s">
        <v>128</v>
      </c>
      <c r="R24" s="3" t="s">
        <v>41</v>
      </c>
      <c r="S24" s="3" t="s">
        <v>694</v>
      </c>
      <c r="T24" s="4">
        <v>0</v>
      </c>
      <c r="U24" s="4">
        <v>1</v>
      </c>
      <c r="V24" s="4">
        <v>0</v>
      </c>
      <c r="W24" s="3" t="s">
        <v>647</v>
      </c>
      <c r="X24" s="3" t="s">
        <v>43</v>
      </c>
    </row>
    <row r="25" spans="1:24" ht="12.9" customHeight="1" x14ac:dyDescent="0.3">
      <c r="A25" s="3" t="s">
        <v>637</v>
      </c>
      <c r="B25" s="4">
        <v>13612</v>
      </c>
      <c r="C25" s="3" t="s">
        <v>661</v>
      </c>
      <c r="D25" s="3" t="s">
        <v>639</v>
      </c>
      <c r="E25" s="3" t="s">
        <v>640</v>
      </c>
      <c r="F25" s="3" t="s">
        <v>662</v>
      </c>
      <c r="G25" s="3" t="s">
        <v>642</v>
      </c>
      <c r="H25" s="3" t="s">
        <v>663</v>
      </c>
      <c r="I25" s="3" t="s">
        <v>664</v>
      </c>
      <c r="J25" s="3">
        <v>14.761944444444444</v>
      </c>
      <c r="K25" s="3" t="s">
        <v>786</v>
      </c>
      <c r="L25" s="3">
        <v>61.083333333333336</v>
      </c>
      <c r="M25" s="3" t="s">
        <v>817</v>
      </c>
      <c r="N25" s="4">
        <v>497</v>
      </c>
      <c r="O25" s="5">
        <v>43126</v>
      </c>
      <c r="P25" s="5">
        <v>43133</v>
      </c>
      <c r="Q25" s="3" t="s">
        <v>136</v>
      </c>
      <c r="R25" s="3" t="s">
        <v>41</v>
      </c>
      <c r="S25" s="3" t="s">
        <v>694</v>
      </c>
      <c r="T25" s="4">
        <v>1</v>
      </c>
      <c r="U25" s="4">
        <v>0</v>
      </c>
      <c r="V25" s="4">
        <v>0</v>
      </c>
      <c r="W25" s="3" t="s">
        <v>647</v>
      </c>
      <c r="X25" s="3" t="s">
        <v>43</v>
      </c>
    </row>
    <row r="26" spans="1:24" ht="12.9" customHeight="1" x14ac:dyDescent="0.3">
      <c r="A26" s="3" t="s">
        <v>637</v>
      </c>
      <c r="B26" s="4">
        <v>13613</v>
      </c>
      <c r="C26" s="3" t="s">
        <v>665</v>
      </c>
      <c r="D26" s="3" t="s">
        <v>639</v>
      </c>
      <c r="E26" s="3" t="s">
        <v>640</v>
      </c>
      <c r="F26" s="3" t="s">
        <v>666</v>
      </c>
      <c r="G26" s="3" t="s">
        <v>642</v>
      </c>
      <c r="H26" s="3" t="s">
        <v>667</v>
      </c>
      <c r="I26" s="3" t="s">
        <v>644</v>
      </c>
      <c r="J26" s="3">
        <v>14.731666666666667</v>
      </c>
      <c r="K26" s="3" t="s">
        <v>787</v>
      </c>
      <c r="L26" s="3">
        <v>61.205833333333331</v>
      </c>
      <c r="M26" s="3" t="s">
        <v>818</v>
      </c>
      <c r="N26" s="4">
        <v>554</v>
      </c>
      <c r="O26" s="5">
        <v>43122</v>
      </c>
      <c r="P26" s="5">
        <v>43129</v>
      </c>
      <c r="Q26" s="3" t="s">
        <v>131</v>
      </c>
      <c r="R26" s="3" t="s">
        <v>668</v>
      </c>
      <c r="S26" s="3" t="s">
        <v>694</v>
      </c>
      <c r="T26" s="4">
        <v>1</v>
      </c>
      <c r="U26" s="4">
        <v>0</v>
      </c>
      <c r="V26" s="4">
        <v>0</v>
      </c>
      <c r="W26" s="3" t="s">
        <v>647</v>
      </c>
      <c r="X26" s="3" t="s">
        <v>43</v>
      </c>
    </row>
    <row r="27" spans="1:24" ht="12.9" customHeight="1" x14ac:dyDescent="0.3">
      <c r="A27" s="3" t="s">
        <v>637</v>
      </c>
      <c r="B27" s="4">
        <v>13614</v>
      </c>
      <c r="C27" s="3" t="s">
        <v>669</v>
      </c>
      <c r="D27" s="3" t="s">
        <v>639</v>
      </c>
      <c r="E27" s="3" t="s">
        <v>640</v>
      </c>
      <c r="F27" s="3" t="s">
        <v>666</v>
      </c>
      <c r="G27" s="3" t="s">
        <v>642</v>
      </c>
      <c r="H27" s="3" t="s">
        <v>667</v>
      </c>
      <c r="I27" s="3" t="s">
        <v>644</v>
      </c>
      <c r="J27" s="3">
        <v>14.731666666666667</v>
      </c>
      <c r="K27" s="3" t="s">
        <v>787</v>
      </c>
      <c r="L27" s="3">
        <v>61.205833333333331</v>
      </c>
      <c r="M27" s="3" t="s">
        <v>818</v>
      </c>
      <c r="N27" s="4">
        <v>554</v>
      </c>
      <c r="O27" s="5">
        <v>43122</v>
      </c>
      <c r="P27" s="5">
        <v>43129</v>
      </c>
      <c r="Q27" s="3" t="s">
        <v>128</v>
      </c>
      <c r="R27" s="3" t="s">
        <v>668</v>
      </c>
      <c r="S27" s="3" t="s">
        <v>694</v>
      </c>
      <c r="T27" s="4">
        <v>1</v>
      </c>
      <c r="U27" s="4">
        <v>0</v>
      </c>
      <c r="V27" s="4">
        <v>0</v>
      </c>
      <c r="W27" s="3" t="s">
        <v>647</v>
      </c>
      <c r="X27" s="3" t="s">
        <v>43</v>
      </c>
    </row>
    <row r="28" spans="1:24" ht="12.9" customHeight="1" x14ac:dyDescent="0.3">
      <c r="A28" s="3" t="s">
        <v>637</v>
      </c>
      <c r="B28" s="4">
        <v>13615</v>
      </c>
      <c r="C28" s="3" t="s">
        <v>703</v>
      </c>
      <c r="D28" s="3" t="s">
        <v>639</v>
      </c>
      <c r="E28" s="3" t="s">
        <v>640</v>
      </c>
      <c r="F28" s="3" t="s">
        <v>673</v>
      </c>
      <c r="G28" s="3" t="s">
        <v>642</v>
      </c>
      <c r="H28" s="3" t="s">
        <v>674</v>
      </c>
      <c r="I28" s="3" t="s">
        <v>664</v>
      </c>
      <c r="J28" s="3">
        <v>14.820833333333333</v>
      </c>
      <c r="K28" s="3" t="s">
        <v>789</v>
      </c>
      <c r="L28" s="3">
        <v>61.136666666666663</v>
      </c>
      <c r="M28" s="3" t="s">
        <v>820</v>
      </c>
      <c r="N28" s="4">
        <v>524</v>
      </c>
      <c r="O28" s="5">
        <v>43124</v>
      </c>
      <c r="P28" s="5">
        <v>43131</v>
      </c>
      <c r="Q28" s="3" t="s">
        <v>131</v>
      </c>
      <c r="R28" s="3" t="s">
        <v>41</v>
      </c>
      <c r="S28" s="3" t="s">
        <v>694</v>
      </c>
      <c r="T28" s="4">
        <v>1</v>
      </c>
      <c r="U28" s="4">
        <v>1</v>
      </c>
      <c r="V28" s="4">
        <v>0</v>
      </c>
      <c r="W28" s="3" t="s">
        <v>647</v>
      </c>
      <c r="X28" s="3" t="s">
        <v>43</v>
      </c>
    </row>
    <row r="29" spans="1:24" ht="12.9" customHeight="1" x14ac:dyDescent="0.3">
      <c r="A29" s="3" t="s">
        <v>637</v>
      </c>
      <c r="B29" s="4">
        <v>13616</v>
      </c>
      <c r="C29" s="3" t="s">
        <v>704</v>
      </c>
      <c r="D29" s="3" t="s">
        <v>639</v>
      </c>
      <c r="E29" s="3" t="s">
        <v>640</v>
      </c>
      <c r="F29" s="3" t="s">
        <v>673</v>
      </c>
      <c r="G29" s="3" t="s">
        <v>642</v>
      </c>
      <c r="H29" s="3" t="s">
        <v>674</v>
      </c>
      <c r="I29" s="3" t="s">
        <v>664</v>
      </c>
      <c r="J29" s="3">
        <v>14.820833333333333</v>
      </c>
      <c r="K29" s="3" t="s">
        <v>789</v>
      </c>
      <c r="L29" s="3">
        <v>61.136666666666663</v>
      </c>
      <c r="M29" s="3" t="s">
        <v>820</v>
      </c>
      <c r="N29" s="4">
        <v>524</v>
      </c>
      <c r="O29" s="5">
        <v>43124</v>
      </c>
      <c r="P29" s="5">
        <v>43131</v>
      </c>
      <c r="Q29" s="3" t="s">
        <v>128</v>
      </c>
      <c r="R29" s="3" t="s">
        <v>41</v>
      </c>
      <c r="S29" s="3" t="s">
        <v>694</v>
      </c>
      <c r="T29" s="4">
        <v>1</v>
      </c>
      <c r="U29" s="4">
        <v>0</v>
      </c>
      <c r="V29" s="4">
        <v>0</v>
      </c>
      <c r="W29" s="3" t="s">
        <v>647</v>
      </c>
      <c r="X29" s="3" t="s">
        <v>43</v>
      </c>
    </row>
    <row r="30" spans="1:24" ht="12.9" customHeight="1" x14ac:dyDescent="0.3">
      <c r="A30" s="3" t="s">
        <v>637</v>
      </c>
      <c r="B30" s="4">
        <v>13617</v>
      </c>
      <c r="C30" s="3" t="s">
        <v>672</v>
      </c>
      <c r="D30" s="3" t="s">
        <v>639</v>
      </c>
      <c r="E30" s="3" t="s">
        <v>640</v>
      </c>
      <c r="F30" s="3" t="s">
        <v>673</v>
      </c>
      <c r="G30" s="3" t="s">
        <v>642</v>
      </c>
      <c r="H30" s="3" t="s">
        <v>674</v>
      </c>
      <c r="I30" s="3" t="s">
        <v>664</v>
      </c>
      <c r="J30" s="3">
        <v>14.820833333333333</v>
      </c>
      <c r="K30" s="3" t="s">
        <v>789</v>
      </c>
      <c r="L30" s="3">
        <v>61.136666666666663</v>
      </c>
      <c r="M30" s="3" t="s">
        <v>820</v>
      </c>
      <c r="N30" s="4">
        <v>524</v>
      </c>
      <c r="O30" s="5">
        <v>43124</v>
      </c>
      <c r="P30" s="5">
        <v>43131</v>
      </c>
      <c r="Q30" s="3" t="s">
        <v>136</v>
      </c>
      <c r="R30" s="3" t="s">
        <v>41</v>
      </c>
      <c r="S30" s="3" t="s">
        <v>694</v>
      </c>
      <c r="T30" s="4">
        <v>1</v>
      </c>
      <c r="U30" s="4">
        <v>0</v>
      </c>
      <c r="V30" s="4">
        <v>0</v>
      </c>
      <c r="W30" s="3" t="s">
        <v>647</v>
      </c>
      <c r="X30" s="3" t="s">
        <v>43</v>
      </c>
    </row>
    <row r="31" spans="1:24" ht="12.9" customHeight="1" x14ac:dyDescent="0.3">
      <c r="A31" s="3" t="s">
        <v>637</v>
      </c>
      <c r="B31" s="4">
        <v>13618</v>
      </c>
      <c r="C31" s="3" t="s">
        <v>677</v>
      </c>
      <c r="D31" s="3" t="s">
        <v>639</v>
      </c>
      <c r="E31" s="3" t="s">
        <v>640</v>
      </c>
      <c r="F31" s="3" t="s">
        <v>673</v>
      </c>
      <c r="G31" s="3" t="s">
        <v>642</v>
      </c>
      <c r="H31" s="3" t="s">
        <v>678</v>
      </c>
      <c r="I31" s="3" t="s">
        <v>679</v>
      </c>
      <c r="J31" s="3">
        <v>14.695</v>
      </c>
      <c r="K31" s="3" t="s">
        <v>791</v>
      </c>
      <c r="L31" s="3">
        <v>61.130277777777778</v>
      </c>
      <c r="M31" s="3" t="s">
        <v>822</v>
      </c>
      <c r="N31" s="4">
        <v>529</v>
      </c>
      <c r="O31" s="5">
        <v>43124</v>
      </c>
      <c r="P31" s="5">
        <v>43131</v>
      </c>
      <c r="Q31" s="3" t="s">
        <v>136</v>
      </c>
      <c r="R31" s="3" t="s">
        <v>41</v>
      </c>
      <c r="S31" s="3" t="s">
        <v>694</v>
      </c>
      <c r="T31" s="4">
        <v>2</v>
      </c>
      <c r="U31" s="4">
        <v>3</v>
      </c>
      <c r="V31" s="4">
        <v>0</v>
      </c>
      <c r="W31" s="3" t="s">
        <v>647</v>
      </c>
      <c r="X31" s="3" t="s">
        <v>43</v>
      </c>
    </row>
    <row r="32" spans="1:24" ht="12.9" customHeight="1" x14ac:dyDescent="0.3">
      <c r="A32" s="3" t="s">
        <v>637</v>
      </c>
      <c r="B32" s="4">
        <v>13619</v>
      </c>
      <c r="C32" s="3" t="s">
        <v>705</v>
      </c>
      <c r="D32" s="3" t="s">
        <v>639</v>
      </c>
      <c r="E32" s="3" t="s">
        <v>640</v>
      </c>
      <c r="F32" s="3" t="s">
        <v>681</v>
      </c>
      <c r="G32" s="3" t="s">
        <v>642</v>
      </c>
      <c r="H32" s="3" t="s">
        <v>682</v>
      </c>
      <c r="I32" s="3" t="s">
        <v>683</v>
      </c>
      <c r="J32" s="3">
        <v>14.791388888888889</v>
      </c>
      <c r="K32" s="3" t="s">
        <v>792</v>
      </c>
      <c r="L32" s="3">
        <v>61.163611111111109</v>
      </c>
      <c r="M32" s="3" t="s">
        <v>823</v>
      </c>
      <c r="N32" s="4">
        <v>585</v>
      </c>
      <c r="O32" s="5">
        <v>43125</v>
      </c>
      <c r="P32" s="5">
        <v>43132</v>
      </c>
      <c r="Q32" s="3" t="s">
        <v>128</v>
      </c>
      <c r="R32" s="3" t="s">
        <v>41</v>
      </c>
      <c r="S32" s="3" t="s">
        <v>694</v>
      </c>
      <c r="T32" s="4">
        <v>0</v>
      </c>
      <c r="U32" s="4">
        <v>1</v>
      </c>
      <c r="V32" s="4">
        <v>0</v>
      </c>
      <c r="W32" s="3" t="s">
        <v>647</v>
      </c>
      <c r="X32" s="3" t="s">
        <v>43</v>
      </c>
    </row>
    <row r="33" spans="1:24" ht="12.9" customHeight="1" x14ac:dyDescent="0.3">
      <c r="A33" s="3" t="s">
        <v>637</v>
      </c>
      <c r="B33" s="4">
        <v>13620</v>
      </c>
      <c r="C33" s="3" t="s">
        <v>706</v>
      </c>
      <c r="D33" s="3" t="s">
        <v>639</v>
      </c>
      <c r="E33" s="3" t="s">
        <v>640</v>
      </c>
      <c r="F33" s="3" t="s">
        <v>681</v>
      </c>
      <c r="G33" s="3" t="s">
        <v>642</v>
      </c>
      <c r="H33" s="3" t="s">
        <v>707</v>
      </c>
      <c r="I33" s="3" t="s">
        <v>664</v>
      </c>
      <c r="J33" s="3">
        <v>14.790555555555555</v>
      </c>
      <c r="K33" s="3" t="s">
        <v>798</v>
      </c>
      <c r="L33" s="3">
        <v>61.155555555555559</v>
      </c>
      <c r="M33" s="3" t="s">
        <v>829</v>
      </c>
      <c r="N33" s="4">
        <v>592</v>
      </c>
      <c r="O33" s="5">
        <v>43125</v>
      </c>
      <c r="P33" s="5">
        <v>43132</v>
      </c>
      <c r="Q33" s="3" t="s">
        <v>136</v>
      </c>
      <c r="R33" s="3" t="s">
        <v>41</v>
      </c>
      <c r="S33" s="3" t="s">
        <v>694</v>
      </c>
      <c r="T33" s="4">
        <v>2</v>
      </c>
      <c r="U33" s="4">
        <v>0</v>
      </c>
      <c r="V33" s="4">
        <v>0</v>
      </c>
      <c r="W33" s="3" t="s">
        <v>647</v>
      </c>
      <c r="X33" s="3" t="s">
        <v>43</v>
      </c>
    </row>
    <row r="34" spans="1:24" ht="12.9" customHeight="1" x14ac:dyDescent="0.3">
      <c r="A34" s="3" t="s">
        <v>637</v>
      </c>
      <c r="B34" s="4">
        <v>13621</v>
      </c>
      <c r="C34" s="3" t="s">
        <v>708</v>
      </c>
      <c r="D34" s="3" t="s">
        <v>639</v>
      </c>
      <c r="E34" s="3" t="s">
        <v>640</v>
      </c>
      <c r="F34" s="3" t="s">
        <v>649</v>
      </c>
      <c r="G34" s="3" t="s">
        <v>642</v>
      </c>
      <c r="H34" s="3" t="s">
        <v>650</v>
      </c>
      <c r="I34" s="3" t="s">
        <v>651</v>
      </c>
      <c r="J34" s="3">
        <v>14.740833333333333</v>
      </c>
      <c r="K34" s="3" t="s">
        <v>782</v>
      </c>
      <c r="L34" s="3">
        <v>61.101666666666667</v>
      </c>
      <c r="M34" s="3" t="s">
        <v>813</v>
      </c>
      <c r="N34" s="4">
        <v>658</v>
      </c>
      <c r="O34" s="5">
        <v>43133</v>
      </c>
      <c r="P34" s="5">
        <v>43140</v>
      </c>
      <c r="Q34" s="3" t="s">
        <v>131</v>
      </c>
      <c r="R34" s="3" t="s">
        <v>41</v>
      </c>
      <c r="S34" s="3" t="s">
        <v>709</v>
      </c>
      <c r="T34" s="4">
        <v>1</v>
      </c>
      <c r="U34" s="4">
        <v>0</v>
      </c>
      <c r="V34" s="4">
        <v>0</v>
      </c>
      <c r="W34" s="3" t="s">
        <v>647</v>
      </c>
      <c r="X34" s="3" t="s">
        <v>43</v>
      </c>
    </row>
    <row r="35" spans="1:24" ht="12.9" customHeight="1" x14ac:dyDescent="0.3">
      <c r="A35" s="3" t="s">
        <v>637</v>
      </c>
      <c r="B35" s="4">
        <v>13622</v>
      </c>
      <c r="C35" s="3" t="s">
        <v>648</v>
      </c>
      <c r="D35" s="3" t="s">
        <v>639</v>
      </c>
      <c r="E35" s="3" t="s">
        <v>640</v>
      </c>
      <c r="F35" s="3" t="s">
        <v>649</v>
      </c>
      <c r="G35" s="3" t="s">
        <v>642</v>
      </c>
      <c r="H35" s="3" t="s">
        <v>650</v>
      </c>
      <c r="I35" s="3" t="s">
        <v>651</v>
      </c>
      <c r="J35" s="3">
        <v>14.740833333333333</v>
      </c>
      <c r="K35" s="3" t="s">
        <v>782</v>
      </c>
      <c r="L35" s="3">
        <v>61.101666666666667</v>
      </c>
      <c r="M35" s="3" t="s">
        <v>813</v>
      </c>
      <c r="N35" s="4">
        <v>658</v>
      </c>
      <c r="O35" s="5">
        <v>43133</v>
      </c>
      <c r="P35" s="5">
        <v>43140</v>
      </c>
      <c r="Q35" s="3" t="s">
        <v>128</v>
      </c>
      <c r="R35" s="3" t="s">
        <v>41</v>
      </c>
      <c r="S35" s="3" t="s">
        <v>709</v>
      </c>
      <c r="T35" s="4">
        <v>0</v>
      </c>
      <c r="U35" s="4">
        <v>2</v>
      </c>
      <c r="V35" s="4">
        <v>0</v>
      </c>
      <c r="W35" s="3" t="s">
        <v>647</v>
      </c>
      <c r="X35" s="3" t="s">
        <v>43</v>
      </c>
    </row>
    <row r="36" spans="1:24" ht="12.9" customHeight="1" x14ac:dyDescent="0.3">
      <c r="A36" s="3" t="s">
        <v>637</v>
      </c>
      <c r="B36" s="4">
        <v>13623</v>
      </c>
      <c r="C36" s="3" t="s">
        <v>695</v>
      </c>
      <c r="D36" s="3" t="s">
        <v>639</v>
      </c>
      <c r="E36" s="3" t="s">
        <v>640</v>
      </c>
      <c r="F36" s="3" t="s">
        <v>649</v>
      </c>
      <c r="G36" s="3" t="s">
        <v>642</v>
      </c>
      <c r="H36" s="3" t="s">
        <v>650</v>
      </c>
      <c r="I36" s="3" t="s">
        <v>651</v>
      </c>
      <c r="J36" s="3">
        <v>14.740833333333333</v>
      </c>
      <c r="K36" s="3" t="s">
        <v>782</v>
      </c>
      <c r="L36" s="3">
        <v>61.101666666666667</v>
      </c>
      <c r="M36" s="3" t="s">
        <v>813</v>
      </c>
      <c r="N36" s="4">
        <v>658</v>
      </c>
      <c r="O36" s="5">
        <v>43133</v>
      </c>
      <c r="P36" s="5">
        <v>43140</v>
      </c>
      <c r="Q36" s="3" t="s">
        <v>136</v>
      </c>
      <c r="R36" s="3" t="s">
        <v>41</v>
      </c>
      <c r="S36" s="3" t="s">
        <v>709</v>
      </c>
      <c r="T36" s="4">
        <v>5</v>
      </c>
      <c r="U36" s="4">
        <v>3</v>
      </c>
      <c r="V36" s="4">
        <v>0</v>
      </c>
      <c r="W36" s="3" t="s">
        <v>647</v>
      </c>
      <c r="X36" s="3" t="s">
        <v>43</v>
      </c>
    </row>
    <row r="37" spans="1:24" ht="12.9" customHeight="1" x14ac:dyDescent="0.3">
      <c r="A37" s="3" t="s">
        <v>637</v>
      </c>
      <c r="B37" s="4">
        <v>13624</v>
      </c>
      <c r="C37" s="3" t="s">
        <v>696</v>
      </c>
      <c r="D37" s="3" t="s">
        <v>639</v>
      </c>
      <c r="E37" s="3" t="s">
        <v>640</v>
      </c>
      <c r="F37" s="3" t="s">
        <v>649</v>
      </c>
      <c r="G37" s="3" t="s">
        <v>642</v>
      </c>
      <c r="H37" s="3" t="s">
        <v>697</v>
      </c>
      <c r="I37" s="3" t="s">
        <v>698</v>
      </c>
      <c r="J37" s="3">
        <v>14.741388888888888</v>
      </c>
      <c r="K37" s="3" t="s">
        <v>796</v>
      </c>
      <c r="L37" s="3">
        <v>61.101111111111109</v>
      </c>
      <c r="M37" s="3" t="s">
        <v>827</v>
      </c>
      <c r="N37" s="4">
        <v>657</v>
      </c>
      <c r="O37" s="5">
        <v>43133</v>
      </c>
      <c r="P37" s="5">
        <v>43140</v>
      </c>
      <c r="Q37" s="3" t="s">
        <v>136</v>
      </c>
      <c r="R37" s="3" t="s">
        <v>41</v>
      </c>
      <c r="S37" s="3" t="s">
        <v>709</v>
      </c>
      <c r="T37" s="4">
        <v>1</v>
      </c>
      <c r="U37" s="4">
        <v>0</v>
      </c>
      <c r="V37" s="4">
        <v>0</v>
      </c>
      <c r="W37" s="3" t="s">
        <v>647</v>
      </c>
      <c r="X37" s="3" t="s">
        <v>43</v>
      </c>
    </row>
    <row r="38" spans="1:24" ht="12.9" customHeight="1" x14ac:dyDescent="0.3">
      <c r="A38" s="3" t="s">
        <v>637</v>
      </c>
      <c r="B38" s="4">
        <v>13625</v>
      </c>
      <c r="C38" s="3" t="s">
        <v>699</v>
      </c>
      <c r="D38" s="3" t="s">
        <v>639</v>
      </c>
      <c r="E38" s="3" t="s">
        <v>640</v>
      </c>
      <c r="F38" s="3" t="s">
        <v>700</v>
      </c>
      <c r="G38" s="3" t="s">
        <v>642</v>
      </c>
      <c r="H38" s="3" t="s">
        <v>701</v>
      </c>
      <c r="I38" s="3" t="s">
        <v>702</v>
      </c>
      <c r="J38" s="3">
        <v>14.795</v>
      </c>
      <c r="K38" s="3" t="s">
        <v>797</v>
      </c>
      <c r="L38" s="3">
        <v>61.194166666666668</v>
      </c>
      <c r="M38" s="3" t="s">
        <v>828</v>
      </c>
      <c r="N38" s="4">
        <v>453</v>
      </c>
      <c r="O38" s="5">
        <v>43126</v>
      </c>
      <c r="P38" s="5">
        <v>43133</v>
      </c>
      <c r="Q38" s="3" t="s">
        <v>128</v>
      </c>
      <c r="R38" s="3" t="s">
        <v>41</v>
      </c>
      <c r="S38" s="3" t="s">
        <v>709</v>
      </c>
      <c r="T38" s="4">
        <v>1</v>
      </c>
      <c r="U38" s="4">
        <v>0</v>
      </c>
      <c r="V38" s="4">
        <v>0</v>
      </c>
      <c r="W38" s="3" t="s">
        <v>647</v>
      </c>
      <c r="X38" s="3" t="s">
        <v>43</v>
      </c>
    </row>
    <row r="39" spans="1:24" ht="12.9" customHeight="1" x14ac:dyDescent="0.3">
      <c r="A39" s="3" t="s">
        <v>637</v>
      </c>
      <c r="B39" s="4">
        <v>13626</v>
      </c>
      <c r="C39" s="3" t="s">
        <v>710</v>
      </c>
      <c r="D39" s="3" t="s">
        <v>639</v>
      </c>
      <c r="E39" s="3" t="s">
        <v>640</v>
      </c>
      <c r="F39" s="3" t="s">
        <v>662</v>
      </c>
      <c r="G39" s="3" t="s">
        <v>642</v>
      </c>
      <c r="H39" s="3" t="s">
        <v>711</v>
      </c>
      <c r="I39" s="3" t="s">
        <v>702</v>
      </c>
      <c r="J39" s="3">
        <v>14.759166666666667</v>
      </c>
      <c r="K39" s="3" t="s">
        <v>799</v>
      </c>
      <c r="L39" s="3">
        <v>61.213333333333331</v>
      </c>
      <c r="M39" s="3" t="s">
        <v>830</v>
      </c>
      <c r="N39" s="4">
        <v>486</v>
      </c>
      <c r="O39" s="5">
        <v>43126</v>
      </c>
      <c r="P39" s="5">
        <v>43133</v>
      </c>
      <c r="Q39" s="3" t="s">
        <v>136</v>
      </c>
      <c r="R39" s="3" t="s">
        <v>41</v>
      </c>
      <c r="S39" s="3" t="s">
        <v>709</v>
      </c>
      <c r="T39" s="4">
        <v>0</v>
      </c>
      <c r="U39" s="4">
        <v>2</v>
      </c>
      <c r="V39" s="4">
        <v>0</v>
      </c>
      <c r="W39" s="3" t="s">
        <v>647</v>
      </c>
      <c r="X39" s="3" t="s">
        <v>43</v>
      </c>
    </row>
    <row r="40" spans="1:24" ht="12.9" customHeight="1" x14ac:dyDescent="0.3">
      <c r="A40" s="3" t="s">
        <v>637</v>
      </c>
      <c r="B40" s="4">
        <v>13627</v>
      </c>
      <c r="C40" s="3" t="s">
        <v>670</v>
      </c>
      <c r="D40" s="3" t="s">
        <v>639</v>
      </c>
      <c r="E40" s="3" t="s">
        <v>640</v>
      </c>
      <c r="F40" s="3" t="s">
        <v>666</v>
      </c>
      <c r="G40" s="3" t="s">
        <v>642</v>
      </c>
      <c r="H40" s="3" t="s">
        <v>671</v>
      </c>
      <c r="I40" s="3" t="s">
        <v>644</v>
      </c>
      <c r="J40" s="3">
        <v>14.7425</v>
      </c>
      <c r="K40" s="3" t="s">
        <v>788</v>
      </c>
      <c r="L40" s="3">
        <v>61.215555555555554</v>
      </c>
      <c r="M40" s="3" t="s">
        <v>819</v>
      </c>
      <c r="N40" s="4">
        <v>599</v>
      </c>
      <c r="O40" s="5">
        <v>43122</v>
      </c>
      <c r="P40" s="5">
        <v>43129</v>
      </c>
      <c r="Q40" s="3" t="s">
        <v>136</v>
      </c>
      <c r="R40" s="3" t="s">
        <v>668</v>
      </c>
      <c r="S40" s="3" t="s">
        <v>709</v>
      </c>
      <c r="T40" s="4">
        <v>0</v>
      </c>
      <c r="U40" s="4">
        <v>1</v>
      </c>
      <c r="V40" s="4">
        <v>0</v>
      </c>
      <c r="W40" s="3" t="s">
        <v>647</v>
      </c>
      <c r="X40" s="3" t="s">
        <v>43</v>
      </c>
    </row>
    <row r="41" spans="1:24" ht="12.9" customHeight="1" x14ac:dyDescent="0.3">
      <c r="A41" s="3" t="s">
        <v>637</v>
      </c>
      <c r="B41" s="4">
        <v>13628</v>
      </c>
      <c r="C41" s="3" t="s">
        <v>712</v>
      </c>
      <c r="D41" s="3" t="s">
        <v>639</v>
      </c>
      <c r="E41" s="3" t="s">
        <v>640</v>
      </c>
      <c r="F41" s="3" t="s">
        <v>713</v>
      </c>
      <c r="G41" s="3" t="s">
        <v>714</v>
      </c>
      <c r="H41" s="3" t="s">
        <v>715</v>
      </c>
      <c r="I41" s="3" t="s">
        <v>716</v>
      </c>
      <c r="J41" s="3">
        <v>14.712777777777777</v>
      </c>
      <c r="K41" s="3" t="s">
        <v>800</v>
      </c>
      <c r="L41" s="3">
        <v>61.106944444444444</v>
      </c>
      <c r="M41" s="3" t="s">
        <v>831</v>
      </c>
      <c r="N41" s="4">
        <v>90</v>
      </c>
      <c r="O41" s="5">
        <v>43126</v>
      </c>
      <c r="P41" s="5">
        <v>43128</v>
      </c>
      <c r="Q41" s="3" t="s">
        <v>136</v>
      </c>
      <c r="R41" s="3" t="s">
        <v>41</v>
      </c>
      <c r="S41" s="3" t="s">
        <v>717</v>
      </c>
      <c r="T41" s="4">
        <v>0</v>
      </c>
      <c r="U41" s="4">
        <v>1</v>
      </c>
      <c r="V41" s="4">
        <v>0</v>
      </c>
      <c r="W41" s="3" t="s">
        <v>647</v>
      </c>
      <c r="X41" s="3" t="s">
        <v>43</v>
      </c>
    </row>
    <row r="42" spans="1:24" ht="12.9" customHeight="1" x14ac:dyDescent="0.3">
      <c r="A42" s="3" t="s">
        <v>637</v>
      </c>
      <c r="B42" s="4">
        <v>13629</v>
      </c>
      <c r="C42" s="3" t="s">
        <v>718</v>
      </c>
      <c r="D42" s="3" t="s">
        <v>639</v>
      </c>
      <c r="E42" s="3" t="s">
        <v>640</v>
      </c>
      <c r="F42" s="3" t="s">
        <v>662</v>
      </c>
      <c r="G42" s="3" t="s">
        <v>642</v>
      </c>
      <c r="H42" s="3" t="s">
        <v>33</v>
      </c>
      <c r="I42" s="3" t="s">
        <v>719</v>
      </c>
      <c r="J42" s="3">
        <v>14.761666666666667</v>
      </c>
      <c r="K42" s="3" t="s">
        <v>801</v>
      </c>
      <c r="L42" s="3">
        <v>61.083333333333336</v>
      </c>
      <c r="M42" s="3" t="s">
        <v>817</v>
      </c>
      <c r="N42" s="4">
        <v>502</v>
      </c>
      <c r="O42" s="6"/>
      <c r="P42" s="5">
        <v>43133</v>
      </c>
      <c r="Q42" s="3" t="s">
        <v>36</v>
      </c>
      <c r="R42" s="3" t="s">
        <v>41</v>
      </c>
      <c r="S42" s="3" t="s">
        <v>717</v>
      </c>
      <c r="T42" s="4">
        <v>0</v>
      </c>
      <c r="U42" s="4">
        <v>1</v>
      </c>
      <c r="V42" s="4">
        <v>0</v>
      </c>
      <c r="W42" s="3" t="s">
        <v>647</v>
      </c>
      <c r="X42" s="3" t="s">
        <v>43</v>
      </c>
    </row>
    <row r="43" spans="1:24" ht="12.9" customHeight="1" x14ac:dyDescent="0.3">
      <c r="A43" s="3" t="s">
        <v>637</v>
      </c>
      <c r="B43" s="4">
        <v>13630</v>
      </c>
      <c r="C43" s="3" t="s">
        <v>720</v>
      </c>
      <c r="D43" s="3" t="s">
        <v>639</v>
      </c>
      <c r="E43" s="3" t="s">
        <v>640</v>
      </c>
      <c r="F43" s="3" t="s">
        <v>649</v>
      </c>
      <c r="G43" s="3" t="s">
        <v>642</v>
      </c>
      <c r="H43" s="3" t="s">
        <v>721</v>
      </c>
      <c r="I43" s="3" t="s">
        <v>722</v>
      </c>
      <c r="J43" s="3">
        <v>14.743333333333334</v>
      </c>
      <c r="K43" s="3" t="s">
        <v>802</v>
      </c>
      <c r="L43" s="3">
        <v>62.248888888888892</v>
      </c>
      <c r="M43" s="3" t="s">
        <v>832</v>
      </c>
      <c r="N43" s="4">
        <v>656</v>
      </c>
      <c r="O43" s="5">
        <v>43133</v>
      </c>
      <c r="P43" s="5">
        <v>43140</v>
      </c>
      <c r="Q43" s="3" t="s">
        <v>136</v>
      </c>
      <c r="R43" s="3" t="s">
        <v>41</v>
      </c>
      <c r="S43" s="3" t="s">
        <v>717</v>
      </c>
      <c r="T43" s="4">
        <v>0</v>
      </c>
      <c r="U43" s="4">
        <v>1</v>
      </c>
      <c r="V43" s="4">
        <v>0</v>
      </c>
      <c r="W43" s="3" t="s">
        <v>647</v>
      </c>
      <c r="X43" s="3" t="s">
        <v>43</v>
      </c>
    </row>
    <row r="44" spans="1:24" ht="12.9" customHeight="1" x14ac:dyDescent="0.3">
      <c r="A44" s="3" t="s">
        <v>637</v>
      </c>
      <c r="B44" s="4">
        <v>13631</v>
      </c>
      <c r="C44" s="3" t="s">
        <v>723</v>
      </c>
      <c r="D44" s="3" t="s">
        <v>639</v>
      </c>
      <c r="E44" s="3" t="s">
        <v>640</v>
      </c>
      <c r="F44" s="3" t="s">
        <v>673</v>
      </c>
      <c r="G44" s="3" t="s">
        <v>642</v>
      </c>
      <c r="H44" s="3" t="s">
        <v>33</v>
      </c>
      <c r="I44" s="3" t="s">
        <v>724</v>
      </c>
      <c r="J44" s="3">
        <v>14.823333333333334</v>
      </c>
      <c r="K44" s="3" t="s">
        <v>803</v>
      </c>
      <c r="L44" s="3">
        <v>61.139444444444443</v>
      </c>
      <c r="M44" s="3" t="s">
        <v>833</v>
      </c>
      <c r="N44" s="4">
        <v>527</v>
      </c>
      <c r="O44" s="6"/>
      <c r="P44" s="5">
        <v>43124</v>
      </c>
      <c r="Q44" s="3" t="s">
        <v>36</v>
      </c>
      <c r="R44" s="3" t="s">
        <v>41</v>
      </c>
      <c r="S44" s="3" t="s">
        <v>725</v>
      </c>
      <c r="T44" s="4">
        <v>0</v>
      </c>
      <c r="U44" s="4">
        <v>1</v>
      </c>
      <c r="V44" s="4">
        <v>0</v>
      </c>
      <c r="W44" s="3" t="s">
        <v>647</v>
      </c>
      <c r="X44" s="3" t="s">
        <v>43</v>
      </c>
    </row>
    <row r="45" spans="1:24" ht="12.9" customHeight="1" x14ac:dyDescent="0.3">
      <c r="A45" s="3" t="s">
        <v>637</v>
      </c>
      <c r="B45" s="4">
        <v>13632</v>
      </c>
      <c r="C45" s="3" t="s">
        <v>695</v>
      </c>
      <c r="D45" s="3" t="s">
        <v>639</v>
      </c>
      <c r="E45" s="3" t="s">
        <v>640</v>
      </c>
      <c r="F45" s="3" t="s">
        <v>649</v>
      </c>
      <c r="G45" s="3" t="s">
        <v>642</v>
      </c>
      <c r="H45" s="3" t="s">
        <v>650</v>
      </c>
      <c r="I45" s="3" t="s">
        <v>651</v>
      </c>
      <c r="J45" s="3">
        <v>14.740833333333333</v>
      </c>
      <c r="K45" s="3" t="s">
        <v>782</v>
      </c>
      <c r="L45" s="3">
        <v>61.101666666666667</v>
      </c>
      <c r="M45" s="3" t="s">
        <v>813</v>
      </c>
      <c r="N45" s="4">
        <v>658</v>
      </c>
      <c r="O45" s="5">
        <v>43133</v>
      </c>
      <c r="P45" s="5">
        <v>43140</v>
      </c>
      <c r="Q45" s="3" t="s">
        <v>136</v>
      </c>
      <c r="R45" s="3" t="s">
        <v>41</v>
      </c>
      <c r="S45" s="3" t="s">
        <v>725</v>
      </c>
      <c r="T45" s="4">
        <v>0</v>
      </c>
      <c r="U45" s="4">
        <v>1</v>
      </c>
      <c r="V45" s="4">
        <v>0</v>
      </c>
      <c r="W45" s="3" t="s">
        <v>647</v>
      </c>
      <c r="X45" s="3" t="s">
        <v>43</v>
      </c>
    </row>
    <row r="46" spans="1:24" ht="12.9" customHeight="1" x14ac:dyDescent="0.3">
      <c r="A46" s="3" t="s">
        <v>637</v>
      </c>
      <c r="B46" s="4">
        <v>13633</v>
      </c>
      <c r="C46" s="3" t="s">
        <v>665</v>
      </c>
      <c r="D46" s="3" t="s">
        <v>639</v>
      </c>
      <c r="E46" s="3" t="s">
        <v>640</v>
      </c>
      <c r="F46" s="3" t="s">
        <v>666</v>
      </c>
      <c r="G46" s="3" t="s">
        <v>642</v>
      </c>
      <c r="H46" s="3" t="s">
        <v>667</v>
      </c>
      <c r="I46" s="3" t="s">
        <v>644</v>
      </c>
      <c r="J46" s="3">
        <v>14.731666666666667</v>
      </c>
      <c r="K46" s="3" t="s">
        <v>787</v>
      </c>
      <c r="L46" s="3">
        <v>61.205833333333331</v>
      </c>
      <c r="M46" s="3" t="s">
        <v>818</v>
      </c>
      <c r="N46" s="4">
        <v>554</v>
      </c>
      <c r="O46" s="5">
        <v>43122</v>
      </c>
      <c r="P46" s="5">
        <v>43129</v>
      </c>
      <c r="Q46" s="3" t="s">
        <v>131</v>
      </c>
      <c r="R46" s="3" t="s">
        <v>668</v>
      </c>
      <c r="S46" s="3" t="s">
        <v>725</v>
      </c>
      <c r="T46" s="4">
        <v>0</v>
      </c>
      <c r="U46" s="4">
        <v>1</v>
      </c>
      <c r="V46" s="4">
        <v>0</v>
      </c>
      <c r="W46" s="3" t="s">
        <v>647</v>
      </c>
      <c r="X46" s="3" t="s">
        <v>43</v>
      </c>
    </row>
    <row r="47" spans="1:24" ht="12.9" customHeight="1" x14ac:dyDescent="0.3">
      <c r="A47" s="3" t="s">
        <v>637</v>
      </c>
      <c r="B47" s="4">
        <v>13634</v>
      </c>
      <c r="C47" s="3" t="s">
        <v>659</v>
      </c>
      <c r="D47" s="3" t="s">
        <v>639</v>
      </c>
      <c r="E47" s="3" t="s">
        <v>640</v>
      </c>
      <c r="F47" s="3" t="s">
        <v>641</v>
      </c>
      <c r="G47" s="3" t="s">
        <v>642</v>
      </c>
      <c r="H47" s="3" t="s">
        <v>660</v>
      </c>
      <c r="I47" s="3" t="s">
        <v>644</v>
      </c>
      <c r="J47" s="3">
        <v>14.876944444444444</v>
      </c>
      <c r="K47" s="3" t="s">
        <v>785</v>
      </c>
      <c r="L47" s="3">
        <v>61.101388888888891</v>
      </c>
      <c r="M47" s="3" t="s">
        <v>816</v>
      </c>
      <c r="N47" s="4">
        <v>337</v>
      </c>
      <c r="O47" s="5">
        <v>43123</v>
      </c>
      <c r="P47" s="5">
        <v>43130</v>
      </c>
      <c r="Q47" s="3" t="s">
        <v>136</v>
      </c>
      <c r="R47" s="3" t="s">
        <v>41</v>
      </c>
      <c r="S47" s="3" t="s">
        <v>726</v>
      </c>
      <c r="T47" s="4">
        <v>0</v>
      </c>
      <c r="U47" s="4">
        <v>1</v>
      </c>
      <c r="V47" s="4">
        <v>0</v>
      </c>
      <c r="W47" s="3" t="s">
        <v>647</v>
      </c>
      <c r="X47" s="3" t="s">
        <v>43</v>
      </c>
    </row>
    <row r="48" spans="1:24" ht="12.9" customHeight="1" x14ac:dyDescent="0.3">
      <c r="A48" s="3" t="s">
        <v>637</v>
      </c>
      <c r="B48" s="4">
        <v>13635</v>
      </c>
      <c r="C48" s="3" t="s">
        <v>695</v>
      </c>
      <c r="D48" s="3" t="s">
        <v>639</v>
      </c>
      <c r="E48" s="3" t="s">
        <v>640</v>
      </c>
      <c r="F48" s="3" t="s">
        <v>649</v>
      </c>
      <c r="G48" s="3" t="s">
        <v>642</v>
      </c>
      <c r="H48" s="3" t="s">
        <v>650</v>
      </c>
      <c r="I48" s="3" t="s">
        <v>651</v>
      </c>
      <c r="J48" s="3">
        <v>14.740833333333333</v>
      </c>
      <c r="K48" s="3" t="s">
        <v>782</v>
      </c>
      <c r="L48" s="3">
        <v>61.101666666666667</v>
      </c>
      <c r="M48" s="3" t="s">
        <v>813</v>
      </c>
      <c r="N48" s="4">
        <v>658</v>
      </c>
      <c r="O48" s="5">
        <v>43133</v>
      </c>
      <c r="P48" s="5">
        <v>43140</v>
      </c>
      <c r="Q48" s="3" t="s">
        <v>136</v>
      </c>
      <c r="R48" s="3" t="s">
        <v>41</v>
      </c>
      <c r="S48" s="3" t="s">
        <v>727</v>
      </c>
      <c r="T48" s="4">
        <v>0</v>
      </c>
      <c r="U48" s="4">
        <v>1</v>
      </c>
      <c r="V48" s="4">
        <v>0</v>
      </c>
      <c r="W48" s="3" t="s">
        <v>647</v>
      </c>
      <c r="X48" s="3" t="s">
        <v>43</v>
      </c>
    </row>
    <row r="49" spans="1:24" ht="12.9" customHeight="1" x14ac:dyDescent="0.3">
      <c r="A49" s="3" t="s">
        <v>637</v>
      </c>
      <c r="B49" s="4">
        <v>13636</v>
      </c>
      <c r="C49" s="3" t="s">
        <v>696</v>
      </c>
      <c r="D49" s="3" t="s">
        <v>639</v>
      </c>
      <c r="E49" s="3" t="s">
        <v>640</v>
      </c>
      <c r="F49" s="3" t="s">
        <v>649</v>
      </c>
      <c r="G49" s="3" t="s">
        <v>642</v>
      </c>
      <c r="H49" s="3" t="s">
        <v>697</v>
      </c>
      <c r="I49" s="3" t="s">
        <v>698</v>
      </c>
      <c r="J49" s="3">
        <v>14.741388888888888</v>
      </c>
      <c r="K49" s="3" t="s">
        <v>796</v>
      </c>
      <c r="L49" s="3">
        <v>61.101111111111109</v>
      </c>
      <c r="M49" s="3" t="s">
        <v>827</v>
      </c>
      <c r="N49" s="4">
        <v>657</v>
      </c>
      <c r="O49" s="5">
        <v>43133</v>
      </c>
      <c r="P49" s="5">
        <v>43140</v>
      </c>
      <c r="Q49" s="3" t="s">
        <v>136</v>
      </c>
      <c r="R49" s="3" t="s">
        <v>41</v>
      </c>
      <c r="S49" s="3" t="s">
        <v>728</v>
      </c>
      <c r="T49" s="4">
        <v>0</v>
      </c>
      <c r="U49" s="4">
        <v>1</v>
      </c>
      <c r="V49" s="4">
        <v>0</v>
      </c>
      <c r="W49" s="3" t="s">
        <v>647</v>
      </c>
      <c r="X49" s="3" t="s">
        <v>43</v>
      </c>
    </row>
    <row r="50" spans="1:24" ht="12.9" customHeight="1" x14ac:dyDescent="0.3">
      <c r="A50" s="3" t="s">
        <v>637</v>
      </c>
      <c r="B50" s="4">
        <v>13637</v>
      </c>
      <c r="C50" s="3" t="s">
        <v>729</v>
      </c>
      <c r="D50" s="3" t="s">
        <v>639</v>
      </c>
      <c r="E50" s="3" t="s">
        <v>640</v>
      </c>
      <c r="F50" s="3" t="s">
        <v>730</v>
      </c>
      <c r="G50" s="3" t="s">
        <v>642</v>
      </c>
      <c r="H50" s="3" t="s">
        <v>731</v>
      </c>
      <c r="I50" s="3" t="s">
        <v>683</v>
      </c>
      <c r="J50" s="3">
        <v>14.853333333333333</v>
      </c>
      <c r="K50" s="3" t="s">
        <v>804</v>
      </c>
      <c r="L50" s="3">
        <v>61.202222222222225</v>
      </c>
      <c r="M50" s="3" t="s">
        <v>834</v>
      </c>
      <c r="N50" s="4">
        <v>260</v>
      </c>
      <c r="O50" s="5">
        <v>43127</v>
      </c>
      <c r="P50" s="5">
        <v>43134</v>
      </c>
      <c r="Q50" s="3" t="s">
        <v>131</v>
      </c>
      <c r="R50" s="3" t="s">
        <v>41</v>
      </c>
      <c r="S50" s="3" t="s">
        <v>732</v>
      </c>
      <c r="T50" s="4">
        <v>1</v>
      </c>
      <c r="U50" s="4">
        <v>2</v>
      </c>
      <c r="V50" s="4">
        <v>0</v>
      </c>
      <c r="W50" s="3" t="s">
        <v>647</v>
      </c>
      <c r="X50" s="3" t="s">
        <v>43</v>
      </c>
    </row>
    <row r="51" spans="1:24" ht="12.9" customHeight="1" x14ac:dyDescent="0.3">
      <c r="A51" s="3" t="s">
        <v>637</v>
      </c>
      <c r="B51" s="4">
        <v>13638</v>
      </c>
      <c r="C51" s="3" t="s">
        <v>729</v>
      </c>
      <c r="D51" s="3" t="s">
        <v>639</v>
      </c>
      <c r="E51" s="3" t="s">
        <v>640</v>
      </c>
      <c r="F51" s="3" t="s">
        <v>730</v>
      </c>
      <c r="G51" s="3" t="s">
        <v>642</v>
      </c>
      <c r="H51" s="3" t="s">
        <v>731</v>
      </c>
      <c r="I51" s="3" t="s">
        <v>683</v>
      </c>
      <c r="J51" s="3">
        <v>14.853333333333333</v>
      </c>
      <c r="K51" s="3" t="s">
        <v>804</v>
      </c>
      <c r="L51" s="3">
        <v>61.202222222222225</v>
      </c>
      <c r="M51" s="3" t="s">
        <v>834</v>
      </c>
      <c r="N51" s="4">
        <v>260</v>
      </c>
      <c r="O51" s="5">
        <v>43127</v>
      </c>
      <c r="P51" s="5">
        <v>43134</v>
      </c>
      <c r="Q51" s="3" t="s">
        <v>131</v>
      </c>
      <c r="R51" s="3" t="s">
        <v>41</v>
      </c>
      <c r="S51" s="3" t="s">
        <v>732</v>
      </c>
      <c r="T51" s="4">
        <v>2</v>
      </c>
      <c r="U51" s="4">
        <v>5</v>
      </c>
      <c r="V51" s="4">
        <v>0</v>
      </c>
      <c r="W51" s="3" t="s">
        <v>647</v>
      </c>
      <c r="X51" s="3" t="s">
        <v>43</v>
      </c>
    </row>
    <row r="52" spans="1:24" ht="12.9" customHeight="1" x14ac:dyDescent="0.3">
      <c r="A52" s="3" t="s">
        <v>637</v>
      </c>
      <c r="B52" s="4">
        <v>13639</v>
      </c>
      <c r="C52" s="3" t="s">
        <v>733</v>
      </c>
      <c r="D52" s="3" t="s">
        <v>639</v>
      </c>
      <c r="E52" s="3" t="s">
        <v>640</v>
      </c>
      <c r="F52" s="3" t="s">
        <v>730</v>
      </c>
      <c r="G52" s="3" t="s">
        <v>642</v>
      </c>
      <c r="H52" s="3" t="s">
        <v>731</v>
      </c>
      <c r="I52" s="3" t="s">
        <v>683</v>
      </c>
      <c r="J52" s="3">
        <v>14.853333333333333</v>
      </c>
      <c r="K52" s="3" t="s">
        <v>804</v>
      </c>
      <c r="L52" s="3">
        <v>61.202222222222225</v>
      </c>
      <c r="M52" s="3" t="s">
        <v>834</v>
      </c>
      <c r="N52" s="4">
        <v>260</v>
      </c>
      <c r="O52" s="5">
        <v>43127</v>
      </c>
      <c r="P52" s="5">
        <v>43134</v>
      </c>
      <c r="Q52" s="3" t="s">
        <v>128</v>
      </c>
      <c r="R52" s="3" t="s">
        <v>41</v>
      </c>
      <c r="S52" s="3" t="s">
        <v>732</v>
      </c>
      <c r="T52" s="4">
        <v>0</v>
      </c>
      <c r="U52" s="4">
        <v>5</v>
      </c>
      <c r="V52" s="4">
        <v>0</v>
      </c>
      <c r="W52" s="3" t="s">
        <v>647</v>
      </c>
      <c r="X52" s="3" t="s">
        <v>43</v>
      </c>
    </row>
    <row r="53" spans="1:24" ht="12.9" customHeight="1" x14ac:dyDescent="0.3">
      <c r="A53" s="3" t="s">
        <v>637</v>
      </c>
      <c r="B53" s="4">
        <v>13640</v>
      </c>
      <c r="C53" s="3" t="s">
        <v>733</v>
      </c>
      <c r="D53" s="3" t="s">
        <v>639</v>
      </c>
      <c r="E53" s="3" t="s">
        <v>640</v>
      </c>
      <c r="F53" s="3" t="s">
        <v>730</v>
      </c>
      <c r="G53" s="3" t="s">
        <v>642</v>
      </c>
      <c r="H53" s="3" t="s">
        <v>731</v>
      </c>
      <c r="I53" s="3" t="s">
        <v>683</v>
      </c>
      <c r="J53" s="3">
        <v>14.853333333333333</v>
      </c>
      <c r="K53" s="3" t="s">
        <v>804</v>
      </c>
      <c r="L53" s="3">
        <v>61.202222222222225</v>
      </c>
      <c r="M53" s="3" t="s">
        <v>834</v>
      </c>
      <c r="N53" s="4">
        <v>260</v>
      </c>
      <c r="O53" s="5">
        <v>43127</v>
      </c>
      <c r="P53" s="5">
        <v>43134</v>
      </c>
      <c r="Q53" s="3" t="s">
        <v>128</v>
      </c>
      <c r="R53" s="3" t="s">
        <v>41</v>
      </c>
      <c r="S53" s="3" t="s">
        <v>732</v>
      </c>
      <c r="T53" s="4">
        <v>10</v>
      </c>
      <c r="U53" s="4">
        <v>7</v>
      </c>
      <c r="V53" s="4">
        <v>0</v>
      </c>
      <c r="W53" s="3" t="s">
        <v>647</v>
      </c>
      <c r="X53" s="3" t="s">
        <v>43</v>
      </c>
    </row>
    <row r="54" spans="1:24" ht="12.9" customHeight="1" x14ac:dyDescent="0.3">
      <c r="A54" s="3" t="s">
        <v>637</v>
      </c>
      <c r="B54" s="4">
        <v>13641</v>
      </c>
      <c r="C54" s="3" t="s">
        <v>734</v>
      </c>
      <c r="D54" s="3" t="s">
        <v>639</v>
      </c>
      <c r="E54" s="3" t="s">
        <v>640</v>
      </c>
      <c r="F54" s="3" t="s">
        <v>730</v>
      </c>
      <c r="G54" s="3" t="s">
        <v>642</v>
      </c>
      <c r="H54" s="3" t="s">
        <v>731</v>
      </c>
      <c r="I54" s="3" t="s">
        <v>683</v>
      </c>
      <c r="J54" s="3">
        <v>14.853333333333333</v>
      </c>
      <c r="K54" s="3" t="s">
        <v>804</v>
      </c>
      <c r="L54" s="3">
        <v>61.202222222222225</v>
      </c>
      <c r="M54" s="3" t="s">
        <v>834</v>
      </c>
      <c r="N54" s="4">
        <v>260</v>
      </c>
      <c r="O54" s="5">
        <v>43127</v>
      </c>
      <c r="P54" s="5">
        <v>43134</v>
      </c>
      <c r="Q54" s="3" t="s">
        <v>136</v>
      </c>
      <c r="R54" s="3" t="s">
        <v>41</v>
      </c>
      <c r="S54" s="3" t="s">
        <v>732</v>
      </c>
      <c r="T54" s="4">
        <v>4</v>
      </c>
      <c r="U54" s="4">
        <v>4</v>
      </c>
      <c r="V54" s="4">
        <v>0</v>
      </c>
      <c r="W54" s="3" t="s">
        <v>647</v>
      </c>
      <c r="X54" s="3" t="s">
        <v>43</v>
      </c>
    </row>
    <row r="55" spans="1:24" ht="12.9" customHeight="1" x14ac:dyDescent="0.3">
      <c r="A55" s="3" t="s">
        <v>637</v>
      </c>
      <c r="B55" s="4">
        <v>13642</v>
      </c>
      <c r="C55" s="3" t="s">
        <v>734</v>
      </c>
      <c r="D55" s="3" t="s">
        <v>639</v>
      </c>
      <c r="E55" s="3" t="s">
        <v>640</v>
      </c>
      <c r="F55" s="3" t="s">
        <v>730</v>
      </c>
      <c r="G55" s="3" t="s">
        <v>642</v>
      </c>
      <c r="H55" s="3" t="s">
        <v>731</v>
      </c>
      <c r="I55" s="3" t="s">
        <v>683</v>
      </c>
      <c r="J55" s="3">
        <v>14.853333333333333</v>
      </c>
      <c r="K55" s="3" t="s">
        <v>804</v>
      </c>
      <c r="L55" s="3">
        <v>61.202222222222225</v>
      </c>
      <c r="M55" s="3" t="s">
        <v>834</v>
      </c>
      <c r="N55" s="4">
        <v>260</v>
      </c>
      <c r="O55" s="5">
        <v>43127</v>
      </c>
      <c r="P55" s="5">
        <v>43134</v>
      </c>
      <c r="Q55" s="3" t="s">
        <v>136</v>
      </c>
      <c r="R55" s="3" t="s">
        <v>41</v>
      </c>
      <c r="S55" s="3" t="s">
        <v>732</v>
      </c>
      <c r="T55" s="4">
        <v>10</v>
      </c>
      <c r="U55" s="4">
        <v>6</v>
      </c>
      <c r="V55" s="4">
        <v>0</v>
      </c>
      <c r="W55" s="3" t="s">
        <v>647</v>
      </c>
      <c r="X55" s="3" t="s">
        <v>43</v>
      </c>
    </row>
    <row r="56" spans="1:24" ht="12.9" customHeight="1" x14ac:dyDescent="0.3">
      <c r="A56" s="3" t="s">
        <v>637</v>
      </c>
      <c r="B56" s="4">
        <v>13643</v>
      </c>
      <c r="C56" s="3" t="s">
        <v>735</v>
      </c>
      <c r="D56" s="3" t="s">
        <v>639</v>
      </c>
      <c r="E56" s="3" t="s">
        <v>640</v>
      </c>
      <c r="F56" s="3" t="s">
        <v>730</v>
      </c>
      <c r="G56" s="3" t="s">
        <v>642</v>
      </c>
      <c r="H56" s="3" t="s">
        <v>736</v>
      </c>
      <c r="I56" s="3" t="s">
        <v>737</v>
      </c>
      <c r="J56" s="3">
        <v>14.848333333333333</v>
      </c>
      <c r="K56" s="3" t="s">
        <v>805</v>
      </c>
      <c r="L56" s="3">
        <v>61.192500000000003</v>
      </c>
      <c r="M56" s="3" t="s">
        <v>835</v>
      </c>
      <c r="N56" s="4">
        <v>260</v>
      </c>
      <c r="O56" s="5">
        <v>43127</v>
      </c>
      <c r="P56" s="5">
        <v>43134</v>
      </c>
      <c r="Q56" s="3" t="s">
        <v>136</v>
      </c>
      <c r="R56" s="3" t="s">
        <v>41</v>
      </c>
      <c r="S56" s="3" t="s">
        <v>732</v>
      </c>
      <c r="T56" s="4">
        <v>2</v>
      </c>
      <c r="U56" s="4">
        <v>0</v>
      </c>
      <c r="V56" s="4">
        <v>0</v>
      </c>
      <c r="W56" s="3" t="s">
        <v>647</v>
      </c>
      <c r="X56" s="3" t="s">
        <v>43</v>
      </c>
    </row>
    <row r="57" spans="1:24" ht="12.9" customHeight="1" x14ac:dyDescent="0.3">
      <c r="A57" s="3" t="s">
        <v>637</v>
      </c>
      <c r="B57" s="4">
        <v>13644</v>
      </c>
      <c r="C57" s="3" t="s">
        <v>735</v>
      </c>
      <c r="D57" s="3" t="s">
        <v>639</v>
      </c>
      <c r="E57" s="3" t="s">
        <v>640</v>
      </c>
      <c r="F57" s="3" t="s">
        <v>730</v>
      </c>
      <c r="G57" s="3" t="s">
        <v>642</v>
      </c>
      <c r="H57" s="3" t="s">
        <v>736</v>
      </c>
      <c r="I57" s="3" t="s">
        <v>737</v>
      </c>
      <c r="J57" s="3">
        <v>14.848333333333333</v>
      </c>
      <c r="K57" s="3" t="s">
        <v>805</v>
      </c>
      <c r="L57" s="3">
        <v>61.192500000000003</v>
      </c>
      <c r="M57" s="3" t="s">
        <v>835</v>
      </c>
      <c r="N57" s="4">
        <v>260</v>
      </c>
      <c r="O57" s="5">
        <v>43127</v>
      </c>
      <c r="P57" s="5">
        <v>43134</v>
      </c>
      <c r="Q57" s="3" t="s">
        <v>136</v>
      </c>
      <c r="R57" s="3" t="s">
        <v>41</v>
      </c>
      <c r="S57" s="3" t="s">
        <v>732</v>
      </c>
      <c r="T57" s="4">
        <v>2</v>
      </c>
      <c r="U57" s="4">
        <v>3</v>
      </c>
      <c r="V57" s="4">
        <v>0</v>
      </c>
      <c r="W57" s="3" t="s">
        <v>647</v>
      </c>
      <c r="X57" s="3" t="s">
        <v>43</v>
      </c>
    </row>
    <row r="58" spans="1:24" ht="12.9" customHeight="1" x14ac:dyDescent="0.3">
      <c r="A58" s="3" t="s">
        <v>637</v>
      </c>
      <c r="B58" s="4">
        <v>13645</v>
      </c>
      <c r="C58" s="3" t="s">
        <v>695</v>
      </c>
      <c r="D58" s="3" t="s">
        <v>639</v>
      </c>
      <c r="E58" s="3" t="s">
        <v>640</v>
      </c>
      <c r="F58" s="3" t="s">
        <v>649</v>
      </c>
      <c r="G58" s="3" t="s">
        <v>642</v>
      </c>
      <c r="H58" s="3" t="s">
        <v>650</v>
      </c>
      <c r="I58" s="3" t="s">
        <v>651</v>
      </c>
      <c r="J58" s="3">
        <v>14.740833333333333</v>
      </c>
      <c r="K58" s="3" t="s">
        <v>782</v>
      </c>
      <c r="L58" s="3">
        <v>61.101666666666667</v>
      </c>
      <c r="M58" s="3" t="s">
        <v>813</v>
      </c>
      <c r="N58" s="4">
        <v>658</v>
      </c>
      <c r="O58" s="5">
        <v>43133</v>
      </c>
      <c r="P58" s="5">
        <v>43140</v>
      </c>
      <c r="Q58" s="3" t="s">
        <v>136</v>
      </c>
      <c r="R58" s="3" t="s">
        <v>41</v>
      </c>
      <c r="S58" s="3" t="s">
        <v>732</v>
      </c>
      <c r="T58" s="4">
        <v>7</v>
      </c>
      <c r="U58" s="4">
        <v>4</v>
      </c>
      <c r="V58" s="4">
        <v>0</v>
      </c>
      <c r="W58" s="3" t="s">
        <v>647</v>
      </c>
      <c r="X58" s="3" t="s">
        <v>43</v>
      </c>
    </row>
    <row r="59" spans="1:24" ht="12.9" customHeight="1" x14ac:dyDescent="0.3">
      <c r="A59" s="3" t="s">
        <v>637</v>
      </c>
      <c r="B59" s="4">
        <v>13646</v>
      </c>
      <c r="C59" s="3" t="s">
        <v>653</v>
      </c>
      <c r="D59" s="3" t="s">
        <v>639</v>
      </c>
      <c r="E59" s="3" t="s">
        <v>640</v>
      </c>
      <c r="F59" s="3" t="s">
        <v>654</v>
      </c>
      <c r="G59" s="3" t="s">
        <v>642</v>
      </c>
      <c r="H59" s="3" t="s">
        <v>655</v>
      </c>
      <c r="I59" s="3" t="s">
        <v>644</v>
      </c>
      <c r="J59" s="3">
        <v>14.89</v>
      </c>
      <c r="K59" s="3" t="s">
        <v>783</v>
      </c>
      <c r="L59" s="3">
        <v>61.095277777777781</v>
      </c>
      <c r="M59" s="3" t="s">
        <v>814</v>
      </c>
      <c r="N59" s="4">
        <v>357</v>
      </c>
      <c r="O59" s="5">
        <v>43123</v>
      </c>
      <c r="P59" s="5">
        <v>43130</v>
      </c>
      <c r="Q59" s="3" t="s">
        <v>131</v>
      </c>
      <c r="R59" s="3" t="s">
        <v>41</v>
      </c>
      <c r="S59" s="3" t="s">
        <v>732</v>
      </c>
      <c r="T59" s="4">
        <v>4</v>
      </c>
      <c r="U59" s="4">
        <v>4</v>
      </c>
      <c r="V59" s="4">
        <v>0</v>
      </c>
      <c r="W59" s="3" t="s">
        <v>647</v>
      </c>
      <c r="X59" s="3" t="s">
        <v>43</v>
      </c>
    </row>
    <row r="60" spans="1:24" ht="12.9" customHeight="1" x14ac:dyDescent="0.3">
      <c r="A60" s="3" t="s">
        <v>637</v>
      </c>
      <c r="B60" s="4">
        <v>13647</v>
      </c>
      <c r="C60" s="3" t="s">
        <v>738</v>
      </c>
      <c r="D60" s="3" t="s">
        <v>639</v>
      </c>
      <c r="E60" s="3" t="s">
        <v>640</v>
      </c>
      <c r="F60" s="3" t="s">
        <v>654</v>
      </c>
      <c r="G60" s="3" t="s">
        <v>642</v>
      </c>
      <c r="H60" s="3" t="s">
        <v>655</v>
      </c>
      <c r="I60" s="3" t="s">
        <v>644</v>
      </c>
      <c r="J60" s="3">
        <v>14.89</v>
      </c>
      <c r="K60" s="3" t="s">
        <v>783</v>
      </c>
      <c r="L60" s="3">
        <v>61.095277777777781</v>
      </c>
      <c r="M60" s="3" t="s">
        <v>814</v>
      </c>
      <c r="N60" s="4">
        <v>357</v>
      </c>
      <c r="O60" s="5">
        <v>43123</v>
      </c>
      <c r="P60" s="5">
        <v>43130</v>
      </c>
      <c r="Q60" s="3" t="s">
        <v>128</v>
      </c>
      <c r="R60" s="3" t="s">
        <v>41</v>
      </c>
      <c r="S60" s="3" t="s">
        <v>732</v>
      </c>
      <c r="T60" s="4">
        <v>7</v>
      </c>
      <c r="U60" s="4">
        <v>6</v>
      </c>
      <c r="V60" s="4">
        <v>0</v>
      </c>
      <c r="W60" s="3" t="s">
        <v>647</v>
      </c>
      <c r="X60" s="3" t="s">
        <v>43</v>
      </c>
    </row>
    <row r="61" spans="1:24" ht="12.9" customHeight="1" x14ac:dyDescent="0.3">
      <c r="A61" s="3" t="s">
        <v>637</v>
      </c>
      <c r="B61" s="4">
        <v>13648</v>
      </c>
      <c r="C61" s="3" t="s">
        <v>656</v>
      </c>
      <c r="D61" s="3" t="s">
        <v>639</v>
      </c>
      <c r="E61" s="3" t="s">
        <v>640</v>
      </c>
      <c r="F61" s="3" t="s">
        <v>654</v>
      </c>
      <c r="G61" s="3" t="s">
        <v>642</v>
      </c>
      <c r="H61" s="3" t="s">
        <v>657</v>
      </c>
      <c r="I61" s="3" t="s">
        <v>644</v>
      </c>
      <c r="J61" s="3">
        <v>14.892777777777777</v>
      </c>
      <c r="K61" s="3" t="s">
        <v>784</v>
      </c>
      <c r="L61" s="3">
        <v>61.101944444444442</v>
      </c>
      <c r="M61" s="3" t="s">
        <v>815</v>
      </c>
      <c r="N61" s="4">
        <v>374</v>
      </c>
      <c r="O61" s="5">
        <v>43123</v>
      </c>
      <c r="P61" s="5">
        <v>43130</v>
      </c>
      <c r="Q61" s="3" t="s">
        <v>136</v>
      </c>
      <c r="R61" s="3" t="s">
        <v>41</v>
      </c>
      <c r="S61" s="3" t="s">
        <v>732</v>
      </c>
      <c r="T61" s="4">
        <v>5</v>
      </c>
      <c r="U61" s="4">
        <v>7</v>
      </c>
      <c r="V61" s="4">
        <v>0</v>
      </c>
      <c r="W61" s="3" t="s">
        <v>647</v>
      </c>
      <c r="X61" s="3" t="s">
        <v>43</v>
      </c>
    </row>
    <row r="62" spans="1:24" ht="12.9" customHeight="1" x14ac:dyDescent="0.3">
      <c r="A62" s="3" t="s">
        <v>637</v>
      </c>
      <c r="B62" s="4">
        <v>13649</v>
      </c>
      <c r="C62" s="3" t="s">
        <v>739</v>
      </c>
      <c r="D62" s="3" t="s">
        <v>639</v>
      </c>
      <c r="E62" s="3" t="s">
        <v>640</v>
      </c>
      <c r="F62" s="3" t="s">
        <v>654</v>
      </c>
      <c r="G62" s="3" t="s">
        <v>642</v>
      </c>
      <c r="H62" s="3" t="s">
        <v>740</v>
      </c>
      <c r="I62" s="3" t="s">
        <v>644</v>
      </c>
      <c r="J62" s="3">
        <v>14.8925</v>
      </c>
      <c r="K62" s="3" t="s">
        <v>806</v>
      </c>
      <c r="L62" s="3">
        <v>61.106666666666669</v>
      </c>
      <c r="M62" s="3" t="s">
        <v>836</v>
      </c>
      <c r="N62" s="4">
        <v>389</v>
      </c>
      <c r="O62" s="5">
        <v>43123</v>
      </c>
      <c r="P62" s="5">
        <v>43130</v>
      </c>
      <c r="Q62" s="3" t="s">
        <v>136</v>
      </c>
      <c r="R62" s="3" t="s">
        <v>41</v>
      </c>
      <c r="S62" s="3" t="s">
        <v>732</v>
      </c>
      <c r="T62" s="4">
        <v>4</v>
      </c>
      <c r="U62" s="4">
        <v>4</v>
      </c>
      <c r="V62" s="4">
        <v>0</v>
      </c>
      <c r="W62" s="3" t="s">
        <v>647</v>
      </c>
      <c r="X62" s="3" t="s">
        <v>43</v>
      </c>
    </row>
    <row r="63" spans="1:24" ht="12.9" customHeight="1" x14ac:dyDescent="0.3">
      <c r="A63" s="3" t="s">
        <v>637</v>
      </c>
      <c r="B63" s="4">
        <v>13650</v>
      </c>
      <c r="C63" s="3" t="s">
        <v>739</v>
      </c>
      <c r="D63" s="3" t="s">
        <v>639</v>
      </c>
      <c r="E63" s="3" t="s">
        <v>640</v>
      </c>
      <c r="F63" s="3" t="s">
        <v>654</v>
      </c>
      <c r="G63" s="3" t="s">
        <v>642</v>
      </c>
      <c r="H63" s="3" t="s">
        <v>740</v>
      </c>
      <c r="I63" s="3" t="s">
        <v>644</v>
      </c>
      <c r="J63" s="3">
        <v>14.8925</v>
      </c>
      <c r="K63" s="3" t="s">
        <v>806</v>
      </c>
      <c r="L63" s="3">
        <v>61.106666666666669</v>
      </c>
      <c r="M63" s="3" t="s">
        <v>836</v>
      </c>
      <c r="N63" s="4">
        <v>389</v>
      </c>
      <c r="O63" s="5">
        <v>43123</v>
      </c>
      <c r="P63" s="5">
        <v>43130</v>
      </c>
      <c r="Q63" s="3" t="s">
        <v>136</v>
      </c>
      <c r="R63" s="3" t="s">
        <v>41</v>
      </c>
      <c r="S63" s="3" t="s">
        <v>732</v>
      </c>
      <c r="T63" s="4">
        <v>3</v>
      </c>
      <c r="U63" s="4">
        <v>9</v>
      </c>
      <c r="V63" s="4">
        <v>0</v>
      </c>
      <c r="W63" s="3" t="s">
        <v>647</v>
      </c>
      <c r="X63" s="3" t="s">
        <v>43</v>
      </c>
    </row>
    <row r="64" spans="1:24" ht="12.9" customHeight="1" x14ac:dyDescent="0.3">
      <c r="A64" s="3" t="s">
        <v>637</v>
      </c>
      <c r="B64" s="4">
        <v>13651</v>
      </c>
      <c r="C64" s="3" t="s">
        <v>739</v>
      </c>
      <c r="D64" s="3" t="s">
        <v>639</v>
      </c>
      <c r="E64" s="3" t="s">
        <v>640</v>
      </c>
      <c r="F64" s="3" t="s">
        <v>654</v>
      </c>
      <c r="G64" s="3" t="s">
        <v>642</v>
      </c>
      <c r="H64" s="3" t="s">
        <v>740</v>
      </c>
      <c r="I64" s="3" t="s">
        <v>644</v>
      </c>
      <c r="J64" s="3">
        <v>14.8925</v>
      </c>
      <c r="K64" s="3" t="s">
        <v>806</v>
      </c>
      <c r="L64" s="3">
        <v>61.106666666666669</v>
      </c>
      <c r="M64" s="3" t="s">
        <v>836</v>
      </c>
      <c r="N64" s="4">
        <v>389</v>
      </c>
      <c r="O64" s="5">
        <v>43123</v>
      </c>
      <c r="P64" s="5">
        <v>43130</v>
      </c>
      <c r="Q64" s="3" t="s">
        <v>136</v>
      </c>
      <c r="R64" s="3" t="s">
        <v>41</v>
      </c>
      <c r="S64" s="3" t="s">
        <v>732</v>
      </c>
      <c r="T64" s="4">
        <v>6</v>
      </c>
      <c r="U64" s="4">
        <v>8</v>
      </c>
      <c r="V64" s="4">
        <v>0</v>
      </c>
      <c r="W64" s="3" t="s">
        <v>647</v>
      </c>
      <c r="X64" s="3" t="s">
        <v>43</v>
      </c>
    </row>
    <row r="65" spans="1:24" ht="12.9" customHeight="1" x14ac:dyDescent="0.3">
      <c r="A65" s="3" t="s">
        <v>637</v>
      </c>
      <c r="B65" s="4">
        <v>13652</v>
      </c>
      <c r="C65" s="3" t="s">
        <v>741</v>
      </c>
      <c r="D65" s="3" t="s">
        <v>639</v>
      </c>
      <c r="E65" s="3" t="s">
        <v>640</v>
      </c>
      <c r="F65" s="3" t="s">
        <v>641</v>
      </c>
      <c r="G65" s="3" t="s">
        <v>642</v>
      </c>
      <c r="H65" s="3" t="s">
        <v>643</v>
      </c>
      <c r="I65" s="3" t="s">
        <v>644</v>
      </c>
      <c r="J65" s="3">
        <v>14.878888888888889</v>
      </c>
      <c r="K65" s="3" t="s">
        <v>645</v>
      </c>
      <c r="L65" s="3">
        <v>61.099444444444444</v>
      </c>
      <c r="M65" s="3" t="s">
        <v>812</v>
      </c>
      <c r="N65" s="4">
        <v>333</v>
      </c>
      <c r="O65" s="5">
        <v>43123</v>
      </c>
      <c r="P65" s="5">
        <v>43130</v>
      </c>
      <c r="Q65" s="3" t="s">
        <v>128</v>
      </c>
      <c r="R65" s="3" t="s">
        <v>41</v>
      </c>
      <c r="S65" s="3" t="s">
        <v>732</v>
      </c>
      <c r="T65" s="4">
        <v>1</v>
      </c>
      <c r="U65" s="4">
        <v>0</v>
      </c>
      <c r="V65" s="4">
        <v>0</v>
      </c>
      <c r="W65" s="3" t="s">
        <v>647</v>
      </c>
      <c r="X65" s="3" t="s">
        <v>43</v>
      </c>
    </row>
    <row r="66" spans="1:24" ht="12.9" customHeight="1" x14ac:dyDescent="0.3">
      <c r="A66" s="3" t="s">
        <v>637</v>
      </c>
      <c r="B66" s="4">
        <v>13653</v>
      </c>
      <c r="C66" s="3" t="s">
        <v>638</v>
      </c>
      <c r="D66" s="3" t="s">
        <v>639</v>
      </c>
      <c r="E66" s="3" t="s">
        <v>640</v>
      </c>
      <c r="F66" s="3" t="s">
        <v>641</v>
      </c>
      <c r="G66" s="3" t="s">
        <v>642</v>
      </c>
      <c r="H66" s="3" t="s">
        <v>643</v>
      </c>
      <c r="I66" s="3" t="s">
        <v>644</v>
      </c>
      <c r="J66" s="3">
        <v>14.878888888888889</v>
      </c>
      <c r="K66" s="3" t="s">
        <v>645</v>
      </c>
      <c r="L66" s="3">
        <v>61.099444444444444</v>
      </c>
      <c r="M66" s="3" t="s">
        <v>812</v>
      </c>
      <c r="N66" s="4">
        <v>333</v>
      </c>
      <c r="O66" s="5">
        <v>43123</v>
      </c>
      <c r="P66" s="5">
        <v>43130</v>
      </c>
      <c r="Q66" s="3" t="s">
        <v>136</v>
      </c>
      <c r="R66" s="3" t="s">
        <v>41</v>
      </c>
      <c r="S66" s="3" t="s">
        <v>732</v>
      </c>
      <c r="T66" s="4">
        <v>0</v>
      </c>
      <c r="U66" s="4">
        <v>1</v>
      </c>
      <c r="V66" s="4">
        <v>0</v>
      </c>
      <c r="W66" s="3" t="s">
        <v>647</v>
      </c>
      <c r="X66" s="3" t="s">
        <v>43</v>
      </c>
    </row>
    <row r="67" spans="1:24" ht="12.9" customHeight="1" x14ac:dyDescent="0.3">
      <c r="A67" s="3" t="s">
        <v>637</v>
      </c>
      <c r="B67" s="4">
        <v>13654</v>
      </c>
      <c r="C67" s="3" t="s">
        <v>659</v>
      </c>
      <c r="D67" s="3" t="s">
        <v>639</v>
      </c>
      <c r="E67" s="3" t="s">
        <v>640</v>
      </c>
      <c r="F67" s="3" t="s">
        <v>641</v>
      </c>
      <c r="G67" s="3" t="s">
        <v>642</v>
      </c>
      <c r="H67" s="3" t="s">
        <v>660</v>
      </c>
      <c r="I67" s="3" t="s">
        <v>644</v>
      </c>
      <c r="J67" s="3">
        <v>14.876944444444444</v>
      </c>
      <c r="K67" s="3" t="s">
        <v>785</v>
      </c>
      <c r="L67" s="3">
        <v>61.101388888888891</v>
      </c>
      <c r="M67" s="3" t="s">
        <v>816</v>
      </c>
      <c r="N67" s="4">
        <v>337</v>
      </c>
      <c r="O67" s="5">
        <v>43123</v>
      </c>
      <c r="P67" s="5">
        <v>43130</v>
      </c>
      <c r="Q67" s="3" t="s">
        <v>136</v>
      </c>
      <c r="R67" s="3" t="s">
        <v>41</v>
      </c>
      <c r="S67" s="3" t="s">
        <v>732</v>
      </c>
      <c r="T67" s="4">
        <v>1</v>
      </c>
      <c r="U67" s="4">
        <v>3</v>
      </c>
      <c r="V67" s="4">
        <v>0</v>
      </c>
      <c r="W67" s="3" t="s">
        <v>647</v>
      </c>
      <c r="X67" s="3" t="s">
        <v>43</v>
      </c>
    </row>
    <row r="68" spans="1:24" ht="12.9" customHeight="1" x14ac:dyDescent="0.3">
      <c r="A68" s="3" t="s">
        <v>637</v>
      </c>
      <c r="B68" s="4">
        <v>13655</v>
      </c>
      <c r="C68" s="3" t="s">
        <v>742</v>
      </c>
      <c r="D68" s="3" t="s">
        <v>639</v>
      </c>
      <c r="E68" s="3" t="s">
        <v>640</v>
      </c>
      <c r="F68" s="3" t="s">
        <v>641</v>
      </c>
      <c r="G68" s="3" t="s">
        <v>642</v>
      </c>
      <c r="H68" s="3" t="s">
        <v>743</v>
      </c>
      <c r="I68" s="3" t="s">
        <v>644</v>
      </c>
      <c r="J68" s="3">
        <v>14.878611111111111</v>
      </c>
      <c r="K68" s="3" t="s">
        <v>807</v>
      </c>
      <c r="L68" s="3">
        <v>61.106111111111112</v>
      </c>
      <c r="M68" s="3" t="s">
        <v>837</v>
      </c>
      <c r="N68" s="4">
        <v>354</v>
      </c>
      <c r="O68" s="5">
        <v>43123</v>
      </c>
      <c r="P68" s="5">
        <v>43130</v>
      </c>
      <c r="Q68" s="3" t="s">
        <v>136</v>
      </c>
      <c r="R68" s="3" t="s">
        <v>41</v>
      </c>
      <c r="S68" s="3" t="s">
        <v>732</v>
      </c>
      <c r="T68" s="4">
        <v>2</v>
      </c>
      <c r="U68" s="4">
        <v>2</v>
      </c>
      <c r="V68" s="4">
        <v>0</v>
      </c>
      <c r="W68" s="3" t="s">
        <v>647</v>
      </c>
      <c r="X68" s="3" t="s">
        <v>43</v>
      </c>
    </row>
    <row r="69" spans="1:24" ht="12.9" customHeight="1" x14ac:dyDescent="0.3">
      <c r="A69" s="3" t="s">
        <v>637</v>
      </c>
      <c r="B69" s="4">
        <v>13656</v>
      </c>
      <c r="C69" s="3" t="s">
        <v>742</v>
      </c>
      <c r="D69" s="3" t="s">
        <v>639</v>
      </c>
      <c r="E69" s="3" t="s">
        <v>640</v>
      </c>
      <c r="F69" s="3" t="s">
        <v>641</v>
      </c>
      <c r="G69" s="3" t="s">
        <v>642</v>
      </c>
      <c r="H69" s="3" t="s">
        <v>743</v>
      </c>
      <c r="I69" s="3" t="s">
        <v>644</v>
      </c>
      <c r="J69" s="3">
        <v>14.878611111111111</v>
      </c>
      <c r="K69" s="3" t="s">
        <v>807</v>
      </c>
      <c r="L69" s="3">
        <v>61.106111111111112</v>
      </c>
      <c r="M69" s="3" t="s">
        <v>837</v>
      </c>
      <c r="N69" s="4">
        <v>354</v>
      </c>
      <c r="O69" s="5">
        <v>43123</v>
      </c>
      <c r="P69" s="5">
        <v>43130</v>
      </c>
      <c r="Q69" s="3" t="s">
        <v>136</v>
      </c>
      <c r="R69" s="3" t="s">
        <v>41</v>
      </c>
      <c r="S69" s="3" t="s">
        <v>732</v>
      </c>
      <c r="T69" s="4">
        <v>1</v>
      </c>
      <c r="U69" s="4">
        <v>0</v>
      </c>
      <c r="V69" s="4">
        <v>0</v>
      </c>
      <c r="W69" s="3" t="s">
        <v>647</v>
      </c>
      <c r="X69" s="3" t="s">
        <v>43</v>
      </c>
    </row>
    <row r="70" spans="1:24" ht="12.9" customHeight="1" x14ac:dyDescent="0.3">
      <c r="A70" s="3" t="s">
        <v>637</v>
      </c>
      <c r="B70" s="4">
        <v>13657</v>
      </c>
      <c r="C70" s="3" t="s">
        <v>744</v>
      </c>
      <c r="D70" s="3" t="s">
        <v>639</v>
      </c>
      <c r="E70" s="3" t="s">
        <v>640</v>
      </c>
      <c r="F70" s="3" t="s">
        <v>700</v>
      </c>
      <c r="G70" s="3" t="s">
        <v>642</v>
      </c>
      <c r="H70" s="3" t="s">
        <v>701</v>
      </c>
      <c r="I70" s="3" t="s">
        <v>702</v>
      </c>
      <c r="J70" s="3">
        <v>14.795</v>
      </c>
      <c r="K70" s="3" t="s">
        <v>797</v>
      </c>
      <c r="L70" s="3">
        <v>61.194166666666668</v>
      </c>
      <c r="M70" s="3" t="s">
        <v>828</v>
      </c>
      <c r="N70" s="4">
        <v>453</v>
      </c>
      <c r="O70" s="5">
        <v>43126</v>
      </c>
      <c r="P70" s="5">
        <v>43133</v>
      </c>
      <c r="Q70" s="3" t="s">
        <v>131</v>
      </c>
      <c r="R70" s="3" t="s">
        <v>41</v>
      </c>
      <c r="S70" s="3" t="s">
        <v>732</v>
      </c>
      <c r="T70" s="4">
        <v>1</v>
      </c>
      <c r="U70" s="4">
        <v>1</v>
      </c>
      <c r="V70" s="4">
        <v>0</v>
      </c>
      <c r="W70" s="3" t="s">
        <v>647</v>
      </c>
      <c r="X70" s="3" t="s">
        <v>43</v>
      </c>
    </row>
    <row r="71" spans="1:24" ht="12.9" customHeight="1" x14ac:dyDescent="0.3">
      <c r="A71" s="3" t="s">
        <v>637</v>
      </c>
      <c r="B71" s="4">
        <v>13658</v>
      </c>
      <c r="C71" s="3" t="s">
        <v>699</v>
      </c>
      <c r="D71" s="3" t="s">
        <v>639</v>
      </c>
      <c r="E71" s="3" t="s">
        <v>640</v>
      </c>
      <c r="F71" s="3" t="s">
        <v>700</v>
      </c>
      <c r="G71" s="3" t="s">
        <v>642</v>
      </c>
      <c r="H71" s="3" t="s">
        <v>701</v>
      </c>
      <c r="I71" s="3" t="s">
        <v>702</v>
      </c>
      <c r="J71" s="3">
        <v>14.795</v>
      </c>
      <c r="K71" s="3" t="s">
        <v>797</v>
      </c>
      <c r="L71" s="3">
        <v>61.194166666666668</v>
      </c>
      <c r="M71" s="3" t="s">
        <v>828</v>
      </c>
      <c r="N71" s="4">
        <v>453</v>
      </c>
      <c r="O71" s="5">
        <v>43126</v>
      </c>
      <c r="P71" s="5">
        <v>43133</v>
      </c>
      <c r="Q71" s="3" t="s">
        <v>128</v>
      </c>
      <c r="R71" s="3" t="s">
        <v>41</v>
      </c>
      <c r="S71" s="3" t="s">
        <v>732</v>
      </c>
      <c r="T71" s="4">
        <v>4</v>
      </c>
      <c r="U71" s="4">
        <v>3</v>
      </c>
      <c r="V71" s="4">
        <v>0</v>
      </c>
      <c r="W71" s="3" t="s">
        <v>647</v>
      </c>
      <c r="X71" s="3" t="s">
        <v>43</v>
      </c>
    </row>
    <row r="72" spans="1:24" ht="12.9" customHeight="1" x14ac:dyDescent="0.3">
      <c r="A72" s="3" t="s">
        <v>637</v>
      </c>
      <c r="B72" s="4">
        <v>13659</v>
      </c>
      <c r="C72" s="3" t="s">
        <v>745</v>
      </c>
      <c r="D72" s="3" t="s">
        <v>639</v>
      </c>
      <c r="E72" s="3" t="s">
        <v>640</v>
      </c>
      <c r="F72" s="3" t="s">
        <v>700</v>
      </c>
      <c r="G72" s="3" t="s">
        <v>642</v>
      </c>
      <c r="H72" s="3" t="s">
        <v>701</v>
      </c>
      <c r="I72" s="3" t="s">
        <v>702</v>
      </c>
      <c r="J72" s="3">
        <v>14.795</v>
      </c>
      <c r="K72" s="3" t="s">
        <v>797</v>
      </c>
      <c r="L72" s="3">
        <v>61.194166666666668</v>
      </c>
      <c r="M72" s="3" t="s">
        <v>828</v>
      </c>
      <c r="N72" s="4">
        <v>453</v>
      </c>
      <c r="O72" s="5">
        <v>43126</v>
      </c>
      <c r="P72" s="5">
        <v>43133</v>
      </c>
      <c r="Q72" s="3" t="s">
        <v>136</v>
      </c>
      <c r="R72" s="3" t="s">
        <v>41</v>
      </c>
      <c r="S72" s="3" t="s">
        <v>732</v>
      </c>
      <c r="T72" s="4">
        <v>1</v>
      </c>
      <c r="U72" s="4">
        <v>3</v>
      </c>
      <c r="V72" s="4">
        <v>0</v>
      </c>
      <c r="W72" s="3" t="s">
        <v>647</v>
      </c>
      <c r="X72" s="3" t="s">
        <v>43</v>
      </c>
    </row>
    <row r="73" spans="1:24" ht="12.9" customHeight="1" x14ac:dyDescent="0.3">
      <c r="A73" s="3" t="s">
        <v>637</v>
      </c>
      <c r="B73" s="4">
        <v>13660</v>
      </c>
      <c r="C73" s="3" t="s">
        <v>710</v>
      </c>
      <c r="D73" s="3" t="s">
        <v>639</v>
      </c>
      <c r="E73" s="3" t="s">
        <v>640</v>
      </c>
      <c r="F73" s="3" t="s">
        <v>662</v>
      </c>
      <c r="G73" s="3" t="s">
        <v>642</v>
      </c>
      <c r="H73" s="3" t="s">
        <v>711</v>
      </c>
      <c r="I73" s="3" t="s">
        <v>702</v>
      </c>
      <c r="J73" s="3">
        <v>14.759166666666667</v>
      </c>
      <c r="K73" s="3" t="s">
        <v>799</v>
      </c>
      <c r="L73" s="3">
        <v>61.213333333333331</v>
      </c>
      <c r="M73" s="3" t="s">
        <v>830</v>
      </c>
      <c r="N73" s="4">
        <v>486</v>
      </c>
      <c r="O73" s="5">
        <v>43126</v>
      </c>
      <c r="P73" s="5">
        <v>43133</v>
      </c>
      <c r="Q73" s="3" t="s">
        <v>136</v>
      </c>
      <c r="R73" s="3" t="s">
        <v>41</v>
      </c>
      <c r="S73" s="3" t="s">
        <v>732</v>
      </c>
      <c r="T73" s="4">
        <v>3</v>
      </c>
      <c r="U73" s="4">
        <v>0</v>
      </c>
      <c r="V73" s="4">
        <v>0</v>
      </c>
      <c r="W73" s="3" t="s">
        <v>647</v>
      </c>
      <c r="X73" s="3" t="s">
        <v>43</v>
      </c>
    </row>
    <row r="74" spans="1:24" ht="12.9" customHeight="1" x14ac:dyDescent="0.3">
      <c r="A74" s="3" t="s">
        <v>637</v>
      </c>
      <c r="B74" s="4">
        <v>13661</v>
      </c>
      <c r="C74" s="3" t="s">
        <v>661</v>
      </c>
      <c r="D74" s="3" t="s">
        <v>639</v>
      </c>
      <c r="E74" s="3" t="s">
        <v>640</v>
      </c>
      <c r="F74" s="3" t="s">
        <v>662</v>
      </c>
      <c r="G74" s="3" t="s">
        <v>642</v>
      </c>
      <c r="H74" s="3" t="s">
        <v>663</v>
      </c>
      <c r="I74" s="3" t="s">
        <v>664</v>
      </c>
      <c r="J74" s="3">
        <v>14.761944444444444</v>
      </c>
      <c r="K74" s="3" t="s">
        <v>786</v>
      </c>
      <c r="L74" s="3">
        <v>61.083333333333336</v>
      </c>
      <c r="M74" s="3" t="s">
        <v>817</v>
      </c>
      <c r="N74" s="4">
        <v>497</v>
      </c>
      <c r="O74" s="5">
        <v>43126</v>
      </c>
      <c r="P74" s="5">
        <v>43133</v>
      </c>
      <c r="Q74" s="3" t="s">
        <v>136</v>
      </c>
      <c r="R74" s="3" t="s">
        <v>41</v>
      </c>
      <c r="S74" s="3" t="s">
        <v>732</v>
      </c>
      <c r="T74" s="4">
        <v>1</v>
      </c>
      <c r="U74" s="4">
        <v>1</v>
      </c>
      <c r="V74" s="4">
        <v>0</v>
      </c>
      <c r="W74" s="3" t="s">
        <v>647</v>
      </c>
      <c r="X74" s="3" t="s">
        <v>43</v>
      </c>
    </row>
    <row r="75" spans="1:24" ht="12.9" customHeight="1" x14ac:dyDescent="0.3">
      <c r="A75" s="3" t="s">
        <v>637</v>
      </c>
      <c r="B75" s="4">
        <v>13662</v>
      </c>
      <c r="C75" s="3" t="s">
        <v>661</v>
      </c>
      <c r="D75" s="3" t="s">
        <v>639</v>
      </c>
      <c r="E75" s="3" t="s">
        <v>640</v>
      </c>
      <c r="F75" s="3" t="s">
        <v>662</v>
      </c>
      <c r="G75" s="3" t="s">
        <v>642</v>
      </c>
      <c r="H75" s="3" t="s">
        <v>663</v>
      </c>
      <c r="I75" s="3" t="s">
        <v>664</v>
      </c>
      <c r="J75" s="3">
        <v>14.761944444444444</v>
      </c>
      <c r="K75" s="3" t="s">
        <v>786</v>
      </c>
      <c r="L75" s="3">
        <v>61.083333333333336</v>
      </c>
      <c r="M75" s="3" t="s">
        <v>817</v>
      </c>
      <c r="N75" s="4">
        <v>497</v>
      </c>
      <c r="O75" s="5">
        <v>43126</v>
      </c>
      <c r="P75" s="5">
        <v>43133</v>
      </c>
      <c r="Q75" s="3" t="s">
        <v>136</v>
      </c>
      <c r="R75" s="3" t="s">
        <v>41</v>
      </c>
      <c r="S75" s="3" t="s">
        <v>732</v>
      </c>
      <c r="T75" s="4">
        <v>1</v>
      </c>
      <c r="U75" s="4">
        <v>1</v>
      </c>
      <c r="V75" s="4">
        <v>0</v>
      </c>
      <c r="W75" s="3" t="s">
        <v>647</v>
      </c>
      <c r="X75" s="3" t="s">
        <v>43</v>
      </c>
    </row>
    <row r="76" spans="1:24" ht="12.9" customHeight="1" x14ac:dyDescent="0.3">
      <c r="A76" s="3" t="s">
        <v>637</v>
      </c>
      <c r="B76" s="4">
        <v>13663</v>
      </c>
      <c r="C76" s="3" t="s">
        <v>665</v>
      </c>
      <c r="D76" s="3" t="s">
        <v>639</v>
      </c>
      <c r="E76" s="3" t="s">
        <v>640</v>
      </c>
      <c r="F76" s="3" t="s">
        <v>666</v>
      </c>
      <c r="G76" s="3" t="s">
        <v>642</v>
      </c>
      <c r="H76" s="3" t="s">
        <v>667</v>
      </c>
      <c r="I76" s="3" t="s">
        <v>644</v>
      </c>
      <c r="J76" s="3">
        <v>14.731666666666667</v>
      </c>
      <c r="K76" s="3" t="s">
        <v>787</v>
      </c>
      <c r="L76" s="3">
        <v>61.205833333333331</v>
      </c>
      <c r="M76" s="3" t="s">
        <v>818</v>
      </c>
      <c r="N76" s="4">
        <v>554</v>
      </c>
      <c r="O76" s="5">
        <v>43122</v>
      </c>
      <c r="P76" s="5">
        <v>43129</v>
      </c>
      <c r="Q76" s="3" t="s">
        <v>131</v>
      </c>
      <c r="R76" s="3" t="s">
        <v>668</v>
      </c>
      <c r="S76" s="3" t="s">
        <v>732</v>
      </c>
      <c r="T76" s="4">
        <v>1</v>
      </c>
      <c r="U76" s="4">
        <v>6</v>
      </c>
      <c r="V76" s="4">
        <v>0</v>
      </c>
      <c r="W76" s="3" t="s">
        <v>647</v>
      </c>
      <c r="X76" s="3" t="s">
        <v>43</v>
      </c>
    </row>
    <row r="77" spans="1:24" ht="12.9" customHeight="1" x14ac:dyDescent="0.3">
      <c r="A77" s="3" t="s">
        <v>637</v>
      </c>
      <c r="B77" s="4">
        <v>13664</v>
      </c>
      <c r="C77" s="3" t="s">
        <v>665</v>
      </c>
      <c r="D77" s="3" t="s">
        <v>639</v>
      </c>
      <c r="E77" s="3" t="s">
        <v>640</v>
      </c>
      <c r="F77" s="3" t="s">
        <v>666</v>
      </c>
      <c r="G77" s="3" t="s">
        <v>642</v>
      </c>
      <c r="H77" s="3" t="s">
        <v>667</v>
      </c>
      <c r="I77" s="3" t="s">
        <v>644</v>
      </c>
      <c r="J77" s="3">
        <v>14.731666666666667</v>
      </c>
      <c r="K77" s="3" t="s">
        <v>787</v>
      </c>
      <c r="L77" s="3">
        <v>61.205833333333331</v>
      </c>
      <c r="M77" s="3" t="s">
        <v>818</v>
      </c>
      <c r="N77" s="4">
        <v>554</v>
      </c>
      <c r="O77" s="5">
        <v>43122</v>
      </c>
      <c r="P77" s="5">
        <v>43129</v>
      </c>
      <c r="Q77" s="3" t="s">
        <v>131</v>
      </c>
      <c r="R77" s="3" t="s">
        <v>668</v>
      </c>
      <c r="S77" s="3" t="s">
        <v>732</v>
      </c>
      <c r="T77" s="4">
        <v>2</v>
      </c>
      <c r="U77" s="4">
        <v>9</v>
      </c>
      <c r="V77" s="4">
        <v>0</v>
      </c>
      <c r="W77" s="3" t="s">
        <v>647</v>
      </c>
      <c r="X77" s="3" t="s">
        <v>43</v>
      </c>
    </row>
    <row r="78" spans="1:24" ht="12.9" customHeight="1" x14ac:dyDescent="0.3">
      <c r="A78" s="3" t="s">
        <v>637</v>
      </c>
      <c r="B78" s="4">
        <v>13665</v>
      </c>
      <c r="C78" s="3" t="s">
        <v>669</v>
      </c>
      <c r="D78" s="3" t="s">
        <v>639</v>
      </c>
      <c r="E78" s="3" t="s">
        <v>640</v>
      </c>
      <c r="F78" s="3" t="s">
        <v>666</v>
      </c>
      <c r="G78" s="3" t="s">
        <v>642</v>
      </c>
      <c r="H78" s="3" t="s">
        <v>667</v>
      </c>
      <c r="I78" s="3" t="s">
        <v>644</v>
      </c>
      <c r="J78" s="3">
        <v>14.731666666666667</v>
      </c>
      <c r="K78" s="3" t="s">
        <v>787</v>
      </c>
      <c r="L78" s="3">
        <v>61.205833333333331</v>
      </c>
      <c r="M78" s="3" t="s">
        <v>818</v>
      </c>
      <c r="N78" s="4">
        <v>554</v>
      </c>
      <c r="O78" s="5">
        <v>43122</v>
      </c>
      <c r="P78" s="5">
        <v>43129</v>
      </c>
      <c r="Q78" s="3" t="s">
        <v>128</v>
      </c>
      <c r="R78" s="3" t="s">
        <v>668</v>
      </c>
      <c r="S78" s="3" t="s">
        <v>732</v>
      </c>
      <c r="T78" s="4">
        <v>8</v>
      </c>
      <c r="U78" s="4">
        <v>15</v>
      </c>
      <c r="V78" s="4">
        <v>0</v>
      </c>
      <c r="W78" s="3" t="s">
        <v>647</v>
      </c>
      <c r="X78" s="3" t="s">
        <v>43</v>
      </c>
    </row>
    <row r="79" spans="1:24" ht="12.9" customHeight="1" x14ac:dyDescent="0.3">
      <c r="A79" s="3" t="s">
        <v>637</v>
      </c>
      <c r="B79" s="4">
        <v>13666</v>
      </c>
      <c r="C79" s="3" t="s">
        <v>669</v>
      </c>
      <c r="D79" s="3" t="s">
        <v>639</v>
      </c>
      <c r="E79" s="3" t="s">
        <v>640</v>
      </c>
      <c r="F79" s="3" t="s">
        <v>666</v>
      </c>
      <c r="G79" s="3" t="s">
        <v>642</v>
      </c>
      <c r="H79" s="3" t="s">
        <v>667</v>
      </c>
      <c r="I79" s="3" t="s">
        <v>644</v>
      </c>
      <c r="J79" s="3">
        <v>14.731666666666667</v>
      </c>
      <c r="K79" s="3" t="s">
        <v>787</v>
      </c>
      <c r="L79" s="3">
        <v>61.205833333333331</v>
      </c>
      <c r="M79" s="3" t="s">
        <v>818</v>
      </c>
      <c r="N79" s="4">
        <v>554</v>
      </c>
      <c r="O79" s="5">
        <v>43122</v>
      </c>
      <c r="P79" s="5">
        <v>43129</v>
      </c>
      <c r="Q79" s="3" t="s">
        <v>128</v>
      </c>
      <c r="R79" s="3" t="s">
        <v>668</v>
      </c>
      <c r="S79" s="3" t="s">
        <v>732</v>
      </c>
      <c r="T79" s="4">
        <v>3</v>
      </c>
      <c r="U79" s="4">
        <v>10</v>
      </c>
      <c r="V79" s="4">
        <v>0</v>
      </c>
      <c r="W79" s="3" t="s">
        <v>647</v>
      </c>
      <c r="X79" s="3" t="s">
        <v>43</v>
      </c>
    </row>
    <row r="80" spans="1:24" ht="12.9" customHeight="1" x14ac:dyDescent="0.3">
      <c r="A80" s="3" t="s">
        <v>637</v>
      </c>
      <c r="B80" s="4">
        <v>13667</v>
      </c>
      <c r="C80" s="3" t="s">
        <v>746</v>
      </c>
      <c r="D80" s="3" t="s">
        <v>639</v>
      </c>
      <c r="E80" s="3" t="s">
        <v>640</v>
      </c>
      <c r="F80" s="3" t="s">
        <v>666</v>
      </c>
      <c r="G80" s="3" t="s">
        <v>642</v>
      </c>
      <c r="H80" s="3" t="s">
        <v>667</v>
      </c>
      <c r="I80" s="3" t="s">
        <v>644</v>
      </c>
      <c r="J80" s="3">
        <v>14.731666666666667</v>
      </c>
      <c r="K80" s="3" t="s">
        <v>787</v>
      </c>
      <c r="L80" s="3">
        <v>61.205833333333331</v>
      </c>
      <c r="M80" s="3" t="s">
        <v>818</v>
      </c>
      <c r="N80" s="4">
        <v>554</v>
      </c>
      <c r="O80" s="5">
        <v>43122</v>
      </c>
      <c r="P80" s="5">
        <v>43129</v>
      </c>
      <c r="Q80" s="3" t="s">
        <v>136</v>
      </c>
      <c r="R80" s="3" t="s">
        <v>41</v>
      </c>
      <c r="S80" s="3" t="s">
        <v>732</v>
      </c>
      <c r="T80" s="4">
        <v>7</v>
      </c>
      <c r="U80" s="4">
        <v>9</v>
      </c>
      <c r="V80" s="4">
        <v>0</v>
      </c>
      <c r="W80" s="3" t="s">
        <v>647</v>
      </c>
      <c r="X80" s="3" t="s">
        <v>43</v>
      </c>
    </row>
    <row r="81" spans="1:24" ht="12.9" customHeight="1" x14ac:dyDescent="0.3">
      <c r="A81" s="3" t="s">
        <v>637</v>
      </c>
      <c r="B81" s="4">
        <v>13668</v>
      </c>
      <c r="C81" s="3" t="s">
        <v>746</v>
      </c>
      <c r="D81" s="3" t="s">
        <v>639</v>
      </c>
      <c r="E81" s="3" t="s">
        <v>640</v>
      </c>
      <c r="F81" s="3" t="s">
        <v>666</v>
      </c>
      <c r="G81" s="3" t="s">
        <v>642</v>
      </c>
      <c r="H81" s="3" t="s">
        <v>667</v>
      </c>
      <c r="I81" s="3" t="s">
        <v>644</v>
      </c>
      <c r="J81" s="3">
        <v>14.731666666666667</v>
      </c>
      <c r="K81" s="3" t="s">
        <v>787</v>
      </c>
      <c r="L81" s="3">
        <v>61.205833333333331</v>
      </c>
      <c r="M81" s="3" t="s">
        <v>818</v>
      </c>
      <c r="N81" s="4">
        <v>554</v>
      </c>
      <c r="O81" s="5">
        <v>43122</v>
      </c>
      <c r="P81" s="5">
        <v>43129</v>
      </c>
      <c r="Q81" s="3" t="s">
        <v>136</v>
      </c>
      <c r="R81" s="3" t="s">
        <v>41</v>
      </c>
      <c r="S81" s="3" t="s">
        <v>732</v>
      </c>
      <c r="T81" s="4">
        <v>0</v>
      </c>
      <c r="U81" s="4">
        <v>1</v>
      </c>
      <c r="V81" s="4">
        <v>0</v>
      </c>
      <c r="W81" s="3" t="s">
        <v>647</v>
      </c>
      <c r="X81" s="3" t="s">
        <v>43</v>
      </c>
    </row>
    <row r="82" spans="1:24" ht="12.9" customHeight="1" x14ac:dyDescent="0.3">
      <c r="A82" s="3" t="s">
        <v>637</v>
      </c>
      <c r="B82" s="4">
        <v>13669</v>
      </c>
      <c r="C82" s="3" t="s">
        <v>670</v>
      </c>
      <c r="D82" s="3" t="s">
        <v>639</v>
      </c>
      <c r="E82" s="3" t="s">
        <v>640</v>
      </c>
      <c r="F82" s="3" t="s">
        <v>666</v>
      </c>
      <c r="G82" s="3" t="s">
        <v>642</v>
      </c>
      <c r="H82" s="3" t="s">
        <v>671</v>
      </c>
      <c r="I82" s="3" t="s">
        <v>644</v>
      </c>
      <c r="J82" s="3">
        <v>14.7425</v>
      </c>
      <c r="K82" s="3" t="s">
        <v>788</v>
      </c>
      <c r="L82" s="3">
        <v>61.215555555555554</v>
      </c>
      <c r="M82" s="3" t="s">
        <v>819</v>
      </c>
      <c r="N82" s="4">
        <v>599</v>
      </c>
      <c r="O82" s="5">
        <v>43122</v>
      </c>
      <c r="P82" s="5">
        <v>43129</v>
      </c>
      <c r="Q82" s="3" t="s">
        <v>136</v>
      </c>
      <c r="R82" s="3" t="s">
        <v>668</v>
      </c>
      <c r="S82" s="3" t="s">
        <v>732</v>
      </c>
      <c r="T82" s="4">
        <v>0</v>
      </c>
      <c r="U82" s="4">
        <v>2</v>
      </c>
      <c r="V82" s="4">
        <v>0</v>
      </c>
      <c r="W82" s="3" t="s">
        <v>647</v>
      </c>
      <c r="X82" s="3" t="s">
        <v>43</v>
      </c>
    </row>
    <row r="83" spans="1:24" ht="12.9" customHeight="1" x14ac:dyDescent="0.3">
      <c r="A83" s="3" t="s">
        <v>637</v>
      </c>
      <c r="B83" s="4">
        <v>13670</v>
      </c>
      <c r="C83" s="3" t="s">
        <v>703</v>
      </c>
      <c r="D83" s="3" t="s">
        <v>639</v>
      </c>
      <c r="E83" s="3" t="s">
        <v>640</v>
      </c>
      <c r="F83" s="3" t="s">
        <v>673</v>
      </c>
      <c r="G83" s="3" t="s">
        <v>642</v>
      </c>
      <c r="H83" s="3" t="s">
        <v>674</v>
      </c>
      <c r="I83" s="3" t="s">
        <v>664</v>
      </c>
      <c r="J83" s="3">
        <v>14.820833333333333</v>
      </c>
      <c r="K83" s="3" t="s">
        <v>789</v>
      </c>
      <c r="L83" s="3">
        <v>61.136666666666663</v>
      </c>
      <c r="M83" s="3" t="s">
        <v>820</v>
      </c>
      <c r="N83" s="4">
        <v>524</v>
      </c>
      <c r="O83" s="5">
        <v>43124</v>
      </c>
      <c r="P83" s="5">
        <v>43131</v>
      </c>
      <c r="Q83" s="3" t="s">
        <v>131</v>
      </c>
      <c r="R83" s="3" t="s">
        <v>41</v>
      </c>
      <c r="S83" s="3" t="s">
        <v>732</v>
      </c>
      <c r="T83" s="4">
        <v>1</v>
      </c>
      <c r="U83" s="4">
        <v>5</v>
      </c>
      <c r="V83" s="4">
        <v>0</v>
      </c>
      <c r="W83" s="3" t="s">
        <v>647</v>
      </c>
      <c r="X83" s="3" t="s">
        <v>43</v>
      </c>
    </row>
    <row r="84" spans="1:24" ht="12.9" customHeight="1" x14ac:dyDescent="0.3">
      <c r="A84" s="3" t="s">
        <v>637</v>
      </c>
      <c r="B84" s="4">
        <v>13671</v>
      </c>
      <c r="C84" s="3" t="s">
        <v>704</v>
      </c>
      <c r="D84" s="3" t="s">
        <v>639</v>
      </c>
      <c r="E84" s="3" t="s">
        <v>640</v>
      </c>
      <c r="F84" s="3" t="s">
        <v>673</v>
      </c>
      <c r="G84" s="3" t="s">
        <v>642</v>
      </c>
      <c r="H84" s="3" t="s">
        <v>674</v>
      </c>
      <c r="I84" s="3" t="s">
        <v>664</v>
      </c>
      <c r="J84" s="3">
        <v>14.820833333333333</v>
      </c>
      <c r="K84" s="3" t="s">
        <v>789</v>
      </c>
      <c r="L84" s="3">
        <v>61.136666666666663</v>
      </c>
      <c r="M84" s="3" t="s">
        <v>820</v>
      </c>
      <c r="N84" s="4">
        <v>524</v>
      </c>
      <c r="O84" s="5">
        <v>43124</v>
      </c>
      <c r="P84" s="5">
        <v>43131</v>
      </c>
      <c r="Q84" s="3" t="s">
        <v>128</v>
      </c>
      <c r="R84" s="3" t="s">
        <v>41</v>
      </c>
      <c r="S84" s="3" t="s">
        <v>732</v>
      </c>
      <c r="T84" s="4">
        <v>7</v>
      </c>
      <c r="U84" s="4">
        <v>4</v>
      </c>
      <c r="V84" s="4">
        <v>0</v>
      </c>
      <c r="W84" s="3" t="s">
        <v>647</v>
      </c>
      <c r="X84" s="3" t="s">
        <v>43</v>
      </c>
    </row>
    <row r="85" spans="1:24" ht="12.9" customHeight="1" x14ac:dyDescent="0.3">
      <c r="A85" s="3" t="s">
        <v>637</v>
      </c>
      <c r="B85" s="4">
        <v>13672</v>
      </c>
      <c r="C85" s="3" t="s">
        <v>672</v>
      </c>
      <c r="D85" s="3" t="s">
        <v>639</v>
      </c>
      <c r="E85" s="3" t="s">
        <v>640</v>
      </c>
      <c r="F85" s="3" t="s">
        <v>673</v>
      </c>
      <c r="G85" s="3" t="s">
        <v>642</v>
      </c>
      <c r="H85" s="3" t="s">
        <v>674</v>
      </c>
      <c r="I85" s="3" t="s">
        <v>664</v>
      </c>
      <c r="J85" s="3">
        <v>14.820833333333333</v>
      </c>
      <c r="K85" s="3" t="s">
        <v>789</v>
      </c>
      <c r="L85" s="3">
        <v>61.136666666666663</v>
      </c>
      <c r="M85" s="3" t="s">
        <v>820</v>
      </c>
      <c r="N85" s="4">
        <v>524</v>
      </c>
      <c r="O85" s="5">
        <v>43124</v>
      </c>
      <c r="P85" s="5">
        <v>43131</v>
      </c>
      <c r="Q85" s="3" t="s">
        <v>136</v>
      </c>
      <c r="R85" s="3" t="s">
        <v>41</v>
      </c>
      <c r="S85" s="3" t="s">
        <v>732</v>
      </c>
      <c r="T85" s="4">
        <v>14</v>
      </c>
      <c r="U85" s="4">
        <v>15</v>
      </c>
      <c r="V85" s="4">
        <v>0</v>
      </c>
      <c r="W85" s="3" t="s">
        <v>647</v>
      </c>
      <c r="X85" s="3" t="s">
        <v>43</v>
      </c>
    </row>
    <row r="86" spans="1:24" ht="12.9" customHeight="1" x14ac:dyDescent="0.3">
      <c r="A86" s="3" t="s">
        <v>637</v>
      </c>
      <c r="B86" s="4">
        <v>13673</v>
      </c>
      <c r="C86" s="3" t="s">
        <v>675</v>
      </c>
      <c r="D86" s="3" t="s">
        <v>639</v>
      </c>
      <c r="E86" s="3" t="s">
        <v>640</v>
      </c>
      <c r="F86" s="3" t="s">
        <v>673</v>
      </c>
      <c r="G86" s="3" t="s">
        <v>642</v>
      </c>
      <c r="H86" s="3" t="s">
        <v>676</v>
      </c>
      <c r="I86" s="3" t="s">
        <v>664</v>
      </c>
      <c r="J86" s="3">
        <v>14.829444444444444</v>
      </c>
      <c r="K86" s="3" t="s">
        <v>790</v>
      </c>
      <c r="L86" s="3">
        <v>61.136944444444445</v>
      </c>
      <c r="M86" s="3" t="s">
        <v>821</v>
      </c>
      <c r="N86" s="4">
        <v>533</v>
      </c>
      <c r="O86" s="5">
        <v>43124</v>
      </c>
      <c r="P86" s="5">
        <v>43131</v>
      </c>
      <c r="Q86" s="3" t="s">
        <v>136</v>
      </c>
      <c r="R86" s="3" t="s">
        <v>41</v>
      </c>
      <c r="S86" s="3" t="s">
        <v>732</v>
      </c>
      <c r="T86" s="4">
        <v>25</v>
      </c>
      <c r="U86" s="4">
        <v>34</v>
      </c>
      <c r="V86" s="4">
        <v>0</v>
      </c>
      <c r="W86" s="3" t="s">
        <v>647</v>
      </c>
      <c r="X86" s="3" t="s">
        <v>43</v>
      </c>
    </row>
    <row r="87" spans="1:24" ht="12.9" customHeight="1" x14ac:dyDescent="0.3">
      <c r="A87" s="3" t="s">
        <v>637</v>
      </c>
      <c r="B87" s="4">
        <v>13674</v>
      </c>
      <c r="C87" s="3" t="s">
        <v>677</v>
      </c>
      <c r="D87" s="3" t="s">
        <v>639</v>
      </c>
      <c r="E87" s="3" t="s">
        <v>640</v>
      </c>
      <c r="F87" s="3" t="s">
        <v>673</v>
      </c>
      <c r="G87" s="3" t="s">
        <v>642</v>
      </c>
      <c r="H87" s="3" t="s">
        <v>678</v>
      </c>
      <c r="I87" s="3" t="s">
        <v>679</v>
      </c>
      <c r="J87" s="3">
        <v>14.695</v>
      </c>
      <c r="K87" s="3" t="s">
        <v>791</v>
      </c>
      <c r="L87" s="3">
        <v>61.130277777777778</v>
      </c>
      <c r="M87" s="3" t="s">
        <v>822</v>
      </c>
      <c r="N87" s="4">
        <v>529</v>
      </c>
      <c r="O87" s="5">
        <v>43124</v>
      </c>
      <c r="P87" s="5">
        <v>43131</v>
      </c>
      <c r="Q87" s="3" t="s">
        <v>136</v>
      </c>
      <c r="R87" s="3" t="s">
        <v>41</v>
      </c>
      <c r="S87" s="3" t="s">
        <v>732</v>
      </c>
      <c r="T87" s="4">
        <v>9</v>
      </c>
      <c r="U87" s="4">
        <v>11</v>
      </c>
      <c r="V87" s="4">
        <v>0</v>
      </c>
      <c r="W87" s="3" t="s">
        <v>647</v>
      </c>
      <c r="X87" s="3" t="s">
        <v>43</v>
      </c>
    </row>
    <row r="88" spans="1:24" ht="12.9" customHeight="1" x14ac:dyDescent="0.3">
      <c r="A88" s="3" t="s">
        <v>637</v>
      </c>
      <c r="B88" s="4">
        <v>13675</v>
      </c>
      <c r="C88" s="3" t="s">
        <v>680</v>
      </c>
      <c r="D88" s="3" t="s">
        <v>639</v>
      </c>
      <c r="E88" s="3" t="s">
        <v>640</v>
      </c>
      <c r="F88" s="3" t="s">
        <v>681</v>
      </c>
      <c r="G88" s="3" t="s">
        <v>642</v>
      </c>
      <c r="H88" s="3" t="s">
        <v>682</v>
      </c>
      <c r="I88" s="3" t="s">
        <v>683</v>
      </c>
      <c r="J88" s="3">
        <v>14.791388888888889</v>
      </c>
      <c r="K88" s="3" t="s">
        <v>792</v>
      </c>
      <c r="L88" s="3">
        <v>61.163611111111109</v>
      </c>
      <c r="M88" s="3" t="s">
        <v>823</v>
      </c>
      <c r="N88" s="4">
        <v>585</v>
      </c>
      <c r="O88" s="5">
        <v>43125</v>
      </c>
      <c r="P88" s="5">
        <v>43132</v>
      </c>
      <c r="Q88" s="3" t="s">
        <v>131</v>
      </c>
      <c r="R88" s="3" t="s">
        <v>41</v>
      </c>
      <c r="S88" s="3" t="s">
        <v>732</v>
      </c>
      <c r="T88" s="4">
        <v>0</v>
      </c>
      <c r="U88" s="4">
        <v>1</v>
      </c>
      <c r="V88" s="4">
        <v>0</v>
      </c>
      <c r="W88" s="3" t="s">
        <v>647</v>
      </c>
      <c r="X88" s="3" t="s">
        <v>43</v>
      </c>
    </row>
    <row r="89" spans="1:24" ht="12.9" customHeight="1" x14ac:dyDescent="0.3">
      <c r="A89" s="3" t="s">
        <v>637</v>
      </c>
      <c r="B89" s="4">
        <v>13676</v>
      </c>
      <c r="C89" s="3" t="s">
        <v>705</v>
      </c>
      <c r="D89" s="3" t="s">
        <v>639</v>
      </c>
      <c r="E89" s="3" t="s">
        <v>640</v>
      </c>
      <c r="F89" s="3" t="s">
        <v>681</v>
      </c>
      <c r="G89" s="3" t="s">
        <v>642</v>
      </c>
      <c r="H89" s="3" t="s">
        <v>682</v>
      </c>
      <c r="I89" s="3" t="s">
        <v>683</v>
      </c>
      <c r="J89" s="3">
        <v>14.791388888888889</v>
      </c>
      <c r="K89" s="3" t="s">
        <v>792</v>
      </c>
      <c r="L89" s="3">
        <v>61.163611111111109</v>
      </c>
      <c r="M89" s="3" t="s">
        <v>823</v>
      </c>
      <c r="N89" s="4">
        <v>585</v>
      </c>
      <c r="O89" s="5">
        <v>43125</v>
      </c>
      <c r="P89" s="5">
        <v>43132</v>
      </c>
      <c r="Q89" s="3" t="s">
        <v>128</v>
      </c>
      <c r="R89" s="3" t="s">
        <v>41</v>
      </c>
      <c r="S89" s="3" t="s">
        <v>732</v>
      </c>
      <c r="T89" s="4">
        <v>2</v>
      </c>
      <c r="U89" s="4">
        <v>4</v>
      </c>
      <c r="V89" s="4">
        <v>0</v>
      </c>
      <c r="W89" s="3" t="s">
        <v>647</v>
      </c>
      <c r="X89" s="3" t="s">
        <v>43</v>
      </c>
    </row>
    <row r="90" spans="1:24" ht="12.9" customHeight="1" x14ac:dyDescent="0.3">
      <c r="A90" s="3" t="s">
        <v>637</v>
      </c>
      <c r="B90" s="4">
        <v>13677</v>
      </c>
      <c r="C90" s="3" t="s">
        <v>747</v>
      </c>
      <c r="D90" s="3" t="s">
        <v>639</v>
      </c>
      <c r="E90" s="3" t="s">
        <v>640</v>
      </c>
      <c r="F90" s="3" t="s">
        <v>681</v>
      </c>
      <c r="G90" s="3" t="s">
        <v>642</v>
      </c>
      <c r="H90" s="3" t="s">
        <v>682</v>
      </c>
      <c r="I90" s="3" t="s">
        <v>683</v>
      </c>
      <c r="J90" s="3">
        <v>14.791388888888889</v>
      </c>
      <c r="K90" s="3" t="s">
        <v>792</v>
      </c>
      <c r="L90" s="3">
        <v>61.163611111111109</v>
      </c>
      <c r="M90" s="3" t="s">
        <v>823</v>
      </c>
      <c r="N90" s="4">
        <v>585</v>
      </c>
      <c r="O90" s="5">
        <v>43125</v>
      </c>
      <c r="P90" s="5">
        <v>43132</v>
      </c>
      <c r="Q90" s="3" t="s">
        <v>136</v>
      </c>
      <c r="R90" s="3" t="s">
        <v>41</v>
      </c>
      <c r="S90" s="3" t="s">
        <v>732</v>
      </c>
      <c r="T90" s="4">
        <v>2</v>
      </c>
      <c r="U90" s="4">
        <v>3</v>
      </c>
      <c r="V90" s="4">
        <v>0</v>
      </c>
      <c r="W90" s="3" t="s">
        <v>647</v>
      </c>
      <c r="X90" s="3" t="s">
        <v>43</v>
      </c>
    </row>
    <row r="91" spans="1:24" ht="12.9" customHeight="1" x14ac:dyDescent="0.3">
      <c r="A91" s="3" t="s">
        <v>637</v>
      </c>
      <c r="B91" s="4">
        <v>13678</v>
      </c>
      <c r="C91" s="3" t="s">
        <v>684</v>
      </c>
      <c r="D91" s="3" t="s">
        <v>639</v>
      </c>
      <c r="E91" s="3" t="s">
        <v>640</v>
      </c>
      <c r="F91" s="3" t="s">
        <v>681</v>
      </c>
      <c r="G91" s="3" t="s">
        <v>642</v>
      </c>
      <c r="H91" s="3" t="s">
        <v>685</v>
      </c>
      <c r="I91" s="3" t="s">
        <v>686</v>
      </c>
      <c r="J91" s="3">
        <v>14.819722222222222</v>
      </c>
      <c r="K91" s="3" t="s">
        <v>793</v>
      </c>
      <c r="L91" s="3">
        <v>61.215000000000003</v>
      </c>
      <c r="M91" s="3" t="s">
        <v>824</v>
      </c>
      <c r="N91" s="4">
        <v>609</v>
      </c>
      <c r="O91" s="5">
        <v>43125</v>
      </c>
      <c r="P91" s="5">
        <v>43132</v>
      </c>
      <c r="Q91" s="3" t="s">
        <v>136</v>
      </c>
      <c r="R91" s="3" t="s">
        <v>41</v>
      </c>
      <c r="S91" s="3" t="s">
        <v>732</v>
      </c>
      <c r="T91" s="4">
        <v>0</v>
      </c>
      <c r="U91" s="4">
        <v>3</v>
      </c>
      <c r="V91" s="4">
        <v>0</v>
      </c>
      <c r="W91" s="3" t="s">
        <v>647</v>
      </c>
      <c r="X91" s="3" t="s">
        <v>43</v>
      </c>
    </row>
    <row r="92" spans="1:24" ht="12.9" customHeight="1" x14ac:dyDescent="0.3">
      <c r="A92" s="3" t="s">
        <v>637</v>
      </c>
      <c r="B92" s="4">
        <v>13679</v>
      </c>
      <c r="C92" s="3" t="s">
        <v>706</v>
      </c>
      <c r="D92" s="3" t="s">
        <v>639</v>
      </c>
      <c r="E92" s="3" t="s">
        <v>640</v>
      </c>
      <c r="F92" s="3" t="s">
        <v>681</v>
      </c>
      <c r="G92" s="3" t="s">
        <v>642</v>
      </c>
      <c r="H92" s="3" t="s">
        <v>707</v>
      </c>
      <c r="I92" s="3" t="s">
        <v>664</v>
      </c>
      <c r="J92" s="3">
        <v>14.790555555555555</v>
      </c>
      <c r="K92" s="3" t="s">
        <v>798</v>
      </c>
      <c r="L92" s="3">
        <v>61.155555555555559</v>
      </c>
      <c r="M92" s="3" t="s">
        <v>829</v>
      </c>
      <c r="N92" s="4">
        <v>592</v>
      </c>
      <c r="O92" s="5">
        <v>43125</v>
      </c>
      <c r="P92" s="5">
        <v>43132</v>
      </c>
      <c r="Q92" s="3" t="s">
        <v>136</v>
      </c>
      <c r="R92" s="3" t="s">
        <v>41</v>
      </c>
      <c r="S92" s="3" t="s">
        <v>732</v>
      </c>
      <c r="T92" s="4">
        <v>5</v>
      </c>
      <c r="U92" s="4">
        <v>3</v>
      </c>
      <c r="V92" s="4">
        <v>0</v>
      </c>
      <c r="W92" s="3" t="s">
        <v>647</v>
      </c>
      <c r="X92" s="3" t="s">
        <v>43</v>
      </c>
    </row>
    <row r="93" spans="1:24" ht="12.9" customHeight="1" x14ac:dyDescent="0.3">
      <c r="A93" s="3" t="s">
        <v>637</v>
      </c>
      <c r="B93" s="4">
        <v>13680</v>
      </c>
      <c r="C93" s="3" t="s">
        <v>688</v>
      </c>
      <c r="D93" s="3" t="s">
        <v>639</v>
      </c>
      <c r="E93" s="3" t="s">
        <v>640</v>
      </c>
      <c r="F93" s="3" t="s">
        <v>681</v>
      </c>
      <c r="G93" s="3" t="s">
        <v>642</v>
      </c>
      <c r="H93" s="3" t="s">
        <v>33</v>
      </c>
      <c r="I93" s="3" t="s">
        <v>689</v>
      </c>
      <c r="J93" s="3">
        <v>15.914999999999999</v>
      </c>
      <c r="K93" s="3" t="s">
        <v>794</v>
      </c>
      <c r="L93" s="3">
        <v>61.244722222222222</v>
      </c>
      <c r="M93" s="3" t="s">
        <v>825</v>
      </c>
      <c r="N93" s="4">
        <v>630</v>
      </c>
      <c r="O93" s="6"/>
      <c r="P93" s="5">
        <v>43132</v>
      </c>
      <c r="Q93" s="3" t="s">
        <v>690</v>
      </c>
      <c r="R93" s="3" t="s">
        <v>41</v>
      </c>
      <c r="S93" s="3" t="s">
        <v>748</v>
      </c>
      <c r="T93" s="4">
        <v>0</v>
      </c>
      <c r="U93" s="4">
        <v>2</v>
      </c>
      <c r="V93" s="4">
        <v>0</v>
      </c>
      <c r="W93" s="3" t="s">
        <v>647</v>
      </c>
      <c r="X93" s="3" t="s">
        <v>43</v>
      </c>
    </row>
    <row r="94" spans="1:24" ht="12.9" customHeight="1" x14ac:dyDescent="0.3">
      <c r="A94" s="3" t="s">
        <v>637</v>
      </c>
      <c r="B94" s="4">
        <v>13681</v>
      </c>
      <c r="C94" s="3" t="s">
        <v>684</v>
      </c>
      <c r="D94" s="3" t="s">
        <v>639</v>
      </c>
      <c r="E94" s="3" t="s">
        <v>640</v>
      </c>
      <c r="F94" s="3" t="s">
        <v>681</v>
      </c>
      <c r="G94" s="3" t="s">
        <v>642</v>
      </c>
      <c r="H94" s="3" t="s">
        <v>685</v>
      </c>
      <c r="I94" s="3" t="s">
        <v>686</v>
      </c>
      <c r="J94" s="3">
        <v>14.819722222222222</v>
      </c>
      <c r="K94" s="3" t="s">
        <v>793</v>
      </c>
      <c r="L94" s="3">
        <v>61.215000000000003</v>
      </c>
      <c r="M94" s="3" t="s">
        <v>824</v>
      </c>
      <c r="N94" s="4">
        <v>609</v>
      </c>
      <c r="O94" s="5">
        <v>43125</v>
      </c>
      <c r="P94" s="5">
        <v>43132</v>
      </c>
      <c r="Q94" s="3" t="s">
        <v>136</v>
      </c>
      <c r="R94" s="3" t="s">
        <v>41</v>
      </c>
      <c r="S94" s="3" t="s">
        <v>748</v>
      </c>
      <c r="T94" s="4">
        <v>1</v>
      </c>
      <c r="U94" s="4">
        <v>0</v>
      </c>
      <c r="V94" s="4">
        <v>0</v>
      </c>
      <c r="W94" s="3" t="s">
        <v>647</v>
      </c>
      <c r="X94" s="3" t="s">
        <v>43</v>
      </c>
    </row>
    <row r="95" spans="1:24" ht="12.9" customHeight="1" x14ac:dyDescent="0.3">
      <c r="A95" s="3" t="s">
        <v>637</v>
      </c>
      <c r="B95" s="4">
        <v>13682</v>
      </c>
      <c r="C95" s="3" t="s">
        <v>749</v>
      </c>
      <c r="D95" s="3" t="s">
        <v>639</v>
      </c>
      <c r="E95" s="3" t="s">
        <v>640</v>
      </c>
      <c r="F95" s="3" t="s">
        <v>641</v>
      </c>
      <c r="G95" s="3" t="s">
        <v>642</v>
      </c>
      <c r="H95" s="3" t="s">
        <v>750</v>
      </c>
      <c r="I95" s="3" t="s">
        <v>751</v>
      </c>
      <c r="J95" s="3">
        <v>14.875277777777777</v>
      </c>
      <c r="K95" s="3" t="s">
        <v>808</v>
      </c>
      <c r="L95" s="3">
        <v>61.102777777777774</v>
      </c>
      <c r="M95" s="3" t="s">
        <v>838</v>
      </c>
      <c r="N95" s="4">
        <v>336</v>
      </c>
      <c r="O95" s="6"/>
      <c r="P95" s="5">
        <v>43130</v>
      </c>
      <c r="Q95" s="3" t="s">
        <v>36</v>
      </c>
      <c r="R95" s="3" t="s">
        <v>41</v>
      </c>
      <c r="S95" s="3" t="s">
        <v>752</v>
      </c>
      <c r="T95" s="4">
        <v>0</v>
      </c>
      <c r="U95" s="4">
        <v>1</v>
      </c>
      <c r="V95" s="4">
        <v>0</v>
      </c>
      <c r="W95" s="3" t="s">
        <v>647</v>
      </c>
      <c r="X95" s="3" t="s">
        <v>43</v>
      </c>
    </row>
    <row r="96" spans="1:24" ht="12.9" customHeight="1" x14ac:dyDescent="0.3">
      <c r="A96" s="3" t="s">
        <v>637</v>
      </c>
      <c r="B96" s="4">
        <v>13683</v>
      </c>
      <c r="C96" s="3" t="s">
        <v>703</v>
      </c>
      <c r="D96" s="3" t="s">
        <v>639</v>
      </c>
      <c r="E96" s="3" t="s">
        <v>640</v>
      </c>
      <c r="F96" s="3" t="s">
        <v>673</v>
      </c>
      <c r="G96" s="3" t="s">
        <v>642</v>
      </c>
      <c r="H96" s="3" t="s">
        <v>674</v>
      </c>
      <c r="I96" s="3" t="s">
        <v>664</v>
      </c>
      <c r="J96" s="3">
        <v>14.820833333333333</v>
      </c>
      <c r="K96" s="3" t="s">
        <v>789</v>
      </c>
      <c r="L96" s="3">
        <v>61.136666666666663</v>
      </c>
      <c r="M96" s="3" t="s">
        <v>820</v>
      </c>
      <c r="N96" s="4">
        <v>524</v>
      </c>
      <c r="O96" s="5">
        <v>43124</v>
      </c>
      <c r="P96" s="5">
        <v>43131</v>
      </c>
      <c r="Q96" s="3" t="s">
        <v>131</v>
      </c>
      <c r="R96" s="3" t="s">
        <v>41</v>
      </c>
      <c r="S96" s="3" t="s">
        <v>752</v>
      </c>
      <c r="T96" s="4">
        <v>1</v>
      </c>
      <c r="U96" s="4">
        <v>0</v>
      </c>
      <c r="V96" s="4">
        <v>0</v>
      </c>
      <c r="W96" s="3" t="s">
        <v>647</v>
      </c>
      <c r="X96" s="3" t="s">
        <v>43</v>
      </c>
    </row>
    <row r="97" spans="1:24" ht="12.9" customHeight="1" x14ac:dyDescent="0.3">
      <c r="A97" s="3" t="s">
        <v>637</v>
      </c>
      <c r="B97" s="4">
        <v>13684</v>
      </c>
      <c r="C97" s="3" t="s">
        <v>704</v>
      </c>
      <c r="D97" s="3" t="s">
        <v>639</v>
      </c>
      <c r="E97" s="3" t="s">
        <v>640</v>
      </c>
      <c r="F97" s="3" t="s">
        <v>673</v>
      </c>
      <c r="G97" s="3" t="s">
        <v>642</v>
      </c>
      <c r="H97" s="3" t="s">
        <v>674</v>
      </c>
      <c r="I97" s="3" t="s">
        <v>664</v>
      </c>
      <c r="J97" s="3">
        <v>14.820833333333333</v>
      </c>
      <c r="K97" s="3" t="s">
        <v>789</v>
      </c>
      <c r="L97" s="3">
        <v>61.136666666666663</v>
      </c>
      <c r="M97" s="3" t="s">
        <v>820</v>
      </c>
      <c r="N97" s="4">
        <v>524</v>
      </c>
      <c r="O97" s="5">
        <v>43124</v>
      </c>
      <c r="P97" s="5">
        <v>43131</v>
      </c>
      <c r="Q97" s="3" t="s">
        <v>128</v>
      </c>
      <c r="R97" s="3" t="s">
        <v>41</v>
      </c>
      <c r="S97" s="3" t="s">
        <v>752</v>
      </c>
      <c r="T97" s="4">
        <v>1</v>
      </c>
      <c r="U97" s="4">
        <v>0</v>
      </c>
      <c r="V97" s="4">
        <v>0</v>
      </c>
      <c r="W97" s="3" t="s">
        <v>647</v>
      </c>
      <c r="X97" s="3" t="s">
        <v>43</v>
      </c>
    </row>
    <row r="98" spans="1:24" ht="12.9" customHeight="1" x14ac:dyDescent="0.3">
      <c r="A98" s="3" t="s">
        <v>637</v>
      </c>
      <c r="B98" s="4">
        <v>13685</v>
      </c>
      <c r="C98" s="3" t="s">
        <v>708</v>
      </c>
      <c r="D98" s="3" t="s">
        <v>639</v>
      </c>
      <c r="E98" s="3" t="s">
        <v>640</v>
      </c>
      <c r="F98" s="3" t="s">
        <v>649</v>
      </c>
      <c r="G98" s="3" t="s">
        <v>642</v>
      </c>
      <c r="H98" s="3" t="s">
        <v>650</v>
      </c>
      <c r="I98" s="3" t="s">
        <v>651</v>
      </c>
      <c r="J98" s="3">
        <v>14.740833333333333</v>
      </c>
      <c r="K98" s="3" t="s">
        <v>782</v>
      </c>
      <c r="L98" s="3">
        <v>61.101666666666667</v>
      </c>
      <c r="M98" s="3" t="s">
        <v>813</v>
      </c>
      <c r="N98" s="4">
        <v>658</v>
      </c>
      <c r="O98" s="5">
        <v>43133</v>
      </c>
      <c r="P98" s="5">
        <v>43140</v>
      </c>
      <c r="Q98" s="3" t="s">
        <v>131</v>
      </c>
      <c r="R98" s="3" t="s">
        <v>41</v>
      </c>
      <c r="S98" s="3" t="s">
        <v>753</v>
      </c>
      <c r="T98" s="4">
        <v>1</v>
      </c>
      <c r="U98" s="4">
        <v>0</v>
      </c>
      <c r="V98" s="4">
        <v>0</v>
      </c>
      <c r="W98" s="3" t="s">
        <v>647</v>
      </c>
      <c r="X98" s="3" t="s">
        <v>43</v>
      </c>
    </row>
    <row r="99" spans="1:24" ht="12.9" customHeight="1" x14ac:dyDescent="0.3">
      <c r="A99" s="3" t="s">
        <v>637</v>
      </c>
      <c r="B99" s="4">
        <v>13686</v>
      </c>
      <c r="C99" s="3" t="s">
        <v>696</v>
      </c>
      <c r="D99" s="3" t="s">
        <v>639</v>
      </c>
      <c r="E99" s="3" t="s">
        <v>640</v>
      </c>
      <c r="F99" s="3" t="s">
        <v>649</v>
      </c>
      <c r="G99" s="3" t="s">
        <v>642</v>
      </c>
      <c r="H99" s="3" t="s">
        <v>697</v>
      </c>
      <c r="I99" s="3" t="s">
        <v>698</v>
      </c>
      <c r="J99" s="3">
        <v>14.741388888888888</v>
      </c>
      <c r="K99" s="3" t="s">
        <v>796</v>
      </c>
      <c r="L99" s="3">
        <v>61.101111111111109</v>
      </c>
      <c r="M99" s="3" t="s">
        <v>827</v>
      </c>
      <c r="N99" s="4">
        <v>657</v>
      </c>
      <c r="O99" s="5">
        <v>43133</v>
      </c>
      <c r="P99" s="5">
        <v>43140</v>
      </c>
      <c r="Q99" s="3" t="s">
        <v>136</v>
      </c>
      <c r="R99" s="3" t="s">
        <v>41</v>
      </c>
      <c r="S99" s="3" t="s">
        <v>753</v>
      </c>
      <c r="T99" s="4">
        <v>2</v>
      </c>
      <c r="U99" s="4">
        <v>0</v>
      </c>
      <c r="V99" s="4">
        <v>0</v>
      </c>
      <c r="W99" s="3" t="s">
        <v>647</v>
      </c>
      <c r="X99" s="3" t="s">
        <v>43</v>
      </c>
    </row>
    <row r="100" spans="1:24" ht="12.9" customHeight="1" x14ac:dyDescent="0.3">
      <c r="A100" s="3" t="s">
        <v>637</v>
      </c>
      <c r="B100" s="4">
        <v>13687</v>
      </c>
      <c r="C100" s="3" t="s">
        <v>661</v>
      </c>
      <c r="D100" s="3" t="s">
        <v>639</v>
      </c>
      <c r="E100" s="3" t="s">
        <v>640</v>
      </c>
      <c r="F100" s="3" t="s">
        <v>662</v>
      </c>
      <c r="G100" s="3" t="s">
        <v>642</v>
      </c>
      <c r="H100" s="3" t="s">
        <v>663</v>
      </c>
      <c r="I100" s="3" t="s">
        <v>664</v>
      </c>
      <c r="J100" s="3">
        <v>14.761944444444444</v>
      </c>
      <c r="K100" s="3" t="s">
        <v>786</v>
      </c>
      <c r="L100" s="3">
        <v>61.083333333333336</v>
      </c>
      <c r="M100" s="3" t="s">
        <v>817</v>
      </c>
      <c r="N100" s="4">
        <v>497</v>
      </c>
      <c r="O100" s="5">
        <v>43126</v>
      </c>
      <c r="P100" s="5">
        <v>43133</v>
      </c>
      <c r="Q100" s="3" t="s">
        <v>136</v>
      </c>
      <c r="R100" s="3" t="s">
        <v>41</v>
      </c>
      <c r="S100" s="3" t="s">
        <v>753</v>
      </c>
      <c r="T100" s="4">
        <v>1</v>
      </c>
      <c r="U100" s="4">
        <v>0</v>
      </c>
      <c r="V100" s="4">
        <v>0</v>
      </c>
      <c r="W100" s="3" t="s">
        <v>647</v>
      </c>
      <c r="X100" s="3" t="s">
        <v>43</v>
      </c>
    </row>
    <row r="101" spans="1:24" ht="12.9" customHeight="1" x14ac:dyDescent="0.3">
      <c r="A101" s="3" t="s">
        <v>637</v>
      </c>
      <c r="B101" s="4">
        <v>13688</v>
      </c>
      <c r="C101" s="3" t="s">
        <v>670</v>
      </c>
      <c r="D101" s="3" t="s">
        <v>639</v>
      </c>
      <c r="E101" s="3" t="s">
        <v>640</v>
      </c>
      <c r="F101" s="3" t="s">
        <v>666</v>
      </c>
      <c r="G101" s="3" t="s">
        <v>642</v>
      </c>
      <c r="H101" s="3" t="s">
        <v>671</v>
      </c>
      <c r="I101" s="3" t="s">
        <v>644</v>
      </c>
      <c r="J101" s="3">
        <v>14.7425</v>
      </c>
      <c r="K101" s="3" t="s">
        <v>788</v>
      </c>
      <c r="L101" s="3">
        <v>61.215555555555554</v>
      </c>
      <c r="M101" s="3" t="s">
        <v>819</v>
      </c>
      <c r="N101" s="4">
        <v>599</v>
      </c>
      <c r="O101" s="5">
        <v>43122</v>
      </c>
      <c r="P101" s="5">
        <v>43129</v>
      </c>
      <c r="Q101" s="3" t="s">
        <v>136</v>
      </c>
      <c r="R101" s="3" t="s">
        <v>668</v>
      </c>
      <c r="S101" s="3" t="s">
        <v>753</v>
      </c>
      <c r="T101" s="4">
        <v>0</v>
      </c>
      <c r="U101" s="4">
        <v>1</v>
      </c>
      <c r="V101" s="4">
        <v>0</v>
      </c>
      <c r="W101" s="3" t="s">
        <v>647</v>
      </c>
      <c r="X101" s="3" t="s">
        <v>43</v>
      </c>
    </row>
    <row r="102" spans="1:24" ht="12.9" customHeight="1" x14ac:dyDescent="0.3">
      <c r="A102" s="3" t="s">
        <v>637</v>
      </c>
      <c r="B102" s="4">
        <v>13689</v>
      </c>
      <c r="C102" s="3" t="s">
        <v>672</v>
      </c>
      <c r="D102" s="3" t="s">
        <v>639</v>
      </c>
      <c r="E102" s="3" t="s">
        <v>640</v>
      </c>
      <c r="F102" s="3" t="s">
        <v>673</v>
      </c>
      <c r="G102" s="3" t="s">
        <v>642</v>
      </c>
      <c r="H102" s="3" t="s">
        <v>674</v>
      </c>
      <c r="I102" s="3" t="s">
        <v>664</v>
      </c>
      <c r="J102" s="3">
        <v>14.820833333333333</v>
      </c>
      <c r="K102" s="3" t="s">
        <v>789</v>
      </c>
      <c r="L102" s="3">
        <v>61.136666666666663</v>
      </c>
      <c r="M102" s="3" t="s">
        <v>820</v>
      </c>
      <c r="N102" s="4">
        <v>524</v>
      </c>
      <c r="O102" s="5">
        <v>43124</v>
      </c>
      <c r="P102" s="5">
        <v>43131</v>
      </c>
      <c r="Q102" s="3" t="s">
        <v>136</v>
      </c>
      <c r="R102" s="3" t="s">
        <v>41</v>
      </c>
      <c r="S102" s="3" t="s">
        <v>753</v>
      </c>
      <c r="T102" s="4">
        <v>1</v>
      </c>
      <c r="U102" s="4">
        <v>0</v>
      </c>
      <c r="V102" s="4">
        <v>0</v>
      </c>
      <c r="W102" s="3" t="s">
        <v>647</v>
      </c>
      <c r="X102" s="3" t="s">
        <v>43</v>
      </c>
    </row>
    <row r="103" spans="1:24" ht="12.9" customHeight="1" x14ac:dyDescent="0.3">
      <c r="A103" s="3" t="s">
        <v>637</v>
      </c>
      <c r="B103" s="4">
        <v>13690</v>
      </c>
      <c r="C103" s="3" t="s">
        <v>675</v>
      </c>
      <c r="D103" s="3" t="s">
        <v>639</v>
      </c>
      <c r="E103" s="3" t="s">
        <v>640</v>
      </c>
      <c r="F103" s="3" t="s">
        <v>673</v>
      </c>
      <c r="G103" s="3" t="s">
        <v>642</v>
      </c>
      <c r="H103" s="3" t="s">
        <v>676</v>
      </c>
      <c r="I103" s="3" t="s">
        <v>664</v>
      </c>
      <c r="J103" s="3">
        <v>14.829444444444444</v>
      </c>
      <c r="K103" s="3" t="s">
        <v>790</v>
      </c>
      <c r="L103" s="3">
        <v>61.136944444444445</v>
      </c>
      <c r="M103" s="3" t="s">
        <v>821</v>
      </c>
      <c r="N103" s="4">
        <v>533</v>
      </c>
      <c r="O103" s="5">
        <v>43124</v>
      </c>
      <c r="P103" s="5">
        <v>43131</v>
      </c>
      <c r="Q103" s="3" t="s">
        <v>136</v>
      </c>
      <c r="R103" s="3" t="s">
        <v>41</v>
      </c>
      <c r="S103" s="3" t="s">
        <v>753</v>
      </c>
      <c r="T103" s="4">
        <v>3</v>
      </c>
      <c r="U103" s="4">
        <v>0</v>
      </c>
      <c r="V103" s="4">
        <v>0</v>
      </c>
      <c r="W103" s="3" t="s">
        <v>647</v>
      </c>
      <c r="X103" s="3" t="s">
        <v>43</v>
      </c>
    </row>
    <row r="104" spans="1:24" ht="12.9" customHeight="1" x14ac:dyDescent="0.3">
      <c r="A104" s="3" t="s">
        <v>637</v>
      </c>
      <c r="B104" s="4">
        <v>13691</v>
      </c>
      <c r="C104" s="3" t="s">
        <v>684</v>
      </c>
      <c r="D104" s="3" t="s">
        <v>639</v>
      </c>
      <c r="E104" s="3" t="s">
        <v>640</v>
      </c>
      <c r="F104" s="3" t="s">
        <v>681</v>
      </c>
      <c r="G104" s="3" t="s">
        <v>642</v>
      </c>
      <c r="H104" s="3" t="s">
        <v>685</v>
      </c>
      <c r="I104" s="3" t="s">
        <v>686</v>
      </c>
      <c r="J104" s="3">
        <v>14.819722222222222</v>
      </c>
      <c r="K104" s="3" t="s">
        <v>793</v>
      </c>
      <c r="L104" s="3">
        <v>61.215000000000003</v>
      </c>
      <c r="M104" s="3" t="s">
        <v>824</v>
      </c>
      <c r="N104" s="4">
        <v>609</v>
      </c>
      <c r="O104" s="5">
        <v>43125</v>
      </c>
      <c r="P104" s="5">
        <v>43132</v>
      </c>
      <c r="Q104" s="3" t="s">
        <v>136</v>
      </c>
      <c r="R104" s="3" t="s">
        <v>41</v>
      </c>
      <c r="S104" s="3" t="s">
        <v>753</v>
      </c>
      <c r="T104" s="4">
        <v>1</v>
      </c>
      <c r="U104" s="4">
        <v>0</v>
      </c>
      <c r="V104" s="4">
        <v>0</v>
      </c>
      <c r="W104" s="3" t="s">
        <v>647</v>
      </c>
      <c r="X104" s="3" t="s">
        <v>43</v>
      </c>
    </row>
    <row r="105" spans="1:24" ht="12.9" customHeight="1" x14ac:dyDescent="0.3">
      <c r="A105" s="3" t="s">
        <v>637</v>
      </c>
      <c r="B105" s="4">
        <v>13692</v>
      </c>
      <c r="C105" s="3" t="s">
        <v>754</v>
      </c>
      <c r="D105" s="3" t="s">
        <v>639</v>
      </c>
      <c r="E105" s="3" t="s">
        <v>640</v>
      </c>
      <c r="F105" s="3" t="s">
        <v>641</v>
      </c>
      <c r="G105" s="3" t="s">
        <v>642</v>
      </c>
      <c r="H105" s="3" t="s">
        <v>643</v>
      </c>
      <c r="I105" s="3" t="s">
        <v>755</v>
      </c>
      <c r="J105" s="3">
        <v>14.878888888888889</v>
      </c>
      <c r="K105" s="3" t="s">
        <v>645</v>
      </c>
      <c r="L105" s="3">
        <v>61.099444444444444</v>
      </c>
      <c r="M105" s="3" t="s">
        <v>812</v>
      </c>
      <c r="N105" s="4">
        <v>333</v>
      </c>
      <c r="O105" s="6"/>
      <c r="P105" s="5">
        <v>43130</v>
      </c>
      <c r="Q105" s="3" t="s">
        <v>36</v>
      </c>
      <c r="R105" s="3" t="s">
        <v>41</v>
      </c>
      <c r="S105" s="3" t="s">
        <v>756</v>
      </c>
      <c r="T105" s="4">
        <v>1</v>
      </c>
      <c r="U105" s="4">
        <v>0</v>
      </c>
      <c r="V105" s="4">
        <v>0</v>
      </c>
      <c r="W105" s="3" t="s">
        <v>647</v>
      </c>
      <c r="X105" s="3" t="s">
        <v>43</v>
      </c>
    </row>
    <row r="106" spans="1:24" ht="12.9" customHeight="1" x14ac:dyDescent="0.3">
      <c r="A106" s="3" t="s">
        <v>637</v>
      </c>
      <c r="B106" s="4">
        <v>13693</v>
      </c>
      <c r="C106" s="3" t="s">
        <v>688</v>
      </c>
      <c r="D106" s="3" t="s">
        <v>639</v>
      </c>
      <c r="E106" s="3" t="s">
        <v>640</v>
      </c>
      <c r="F106" s="3" t="s">
        <v>681</v>
      </c>
      <c r="G106" s="3" t="s">
        <v>642</v>
      </c>
      <c r="H106" s="3" t="s">
        <v>33</v>
      </c>
      <c r="I106" s="3" t="s">
        <v>689</v>
      </c>
      <c r="J106" s="3">
        <v>15.914999999999999</v>
      </c>
      <c r="K106" s="3" t="s">
        <v>794</v>
      </c>
      <c r="L106" s="3">
        <v>61.244722222222222</v>
      </c>
      <c r="M106" s="3" t="s">
        <v>825</v>
      </c>
      <c r="N106" s="4">
        <v>630</v>
      </c>
      <c r="O106" s="6"/>
      <c r="P106" s="5">
        <v>43132</v>
      </c>
      <c r="Q106" s="3" t="s">
        <v>690</v>
      </c>
      <c r="R106" s="3" t="s">
        <v>41</v>
      </c>
      <c r="S106" s="3" t="s">
        <v>756</v>
      </c>
      <c r="T106" s="4">
        <v>1</v>
      </c>
      <c r="U106" s="4">
        <v>0</v>
      </c>
      <c r="V106" s="4">
        <v>0</v>
      </c>
      <c r="W106" s="3" t="s">
        <v>647</v>
      </c>
      <c r="X106" s="3" t="s">
        <v>43</v>
      </c>
    </row>
    <row r="107" spans="1:24" ht="12.9" customHeight="1" x14ac:dyDescent="0.3">
      <c r="A107" s="3" t="s">
        <v>637</v>
      </c>
      <c r="B107" s="4">
        <v>13694</v>
      </c>
      <c r="C107" s="3" t="s">
        <v>729</v>
      </c>
      <c r="D107" s="3" t="s">
        <v>639</v>
      </c>
      <c r="E107" s="3" t="s">
        <v>640</v>
      </c>
      <c r="F107" s="3" t="s">
        <v>730</v>
      </c>
      <c r="G107" s="3" t="s">
        <v>642</v>
      </c>
      <c r="H107" s="3" t="s">
        <v>731</v>
      </c>
      <c r="I107" s="3" t="s">
        <v>683</v>
      </c>
      <c r="J107" s="3">
        <v>14.853333333333333</v>
      </c>
      <c r="K107" s="3" t="s">
        <v>804</v>
      </c>
      <c r="L107" s="3">
        <v>61.202222222222225</v>
      </c>
      <c r="M107" s="3" t="s">
        <v>834</v>
      </c>
      <c r="N107" s="4">
        <v>260</v>
      </c>
      <c r="O107" s="5">
        <v>43127</v>
      </c>
      <c r="P107" s="5">
        <v>43134</v>
      </c>
      <c r="Q107" s="3" t="s">
        <v>131</v>
      </c>
      <c r="R107" s="3" t="s">
        <v>41</v>
      </c>
      <c r="S107" s="3" t="s">
        <v>756</v>
      </c>
      <c r="T107" s="4">
        <v>0</v>
      </c>
      <c r="U107" s="4">
        <v>1</v>
      </c>
      <c r="V107" s="4">
        <v>0</v>
      </c>
      <c r="W107" s="3" t="s">
        <v>647</v>
      </c>
      <c r="X107" s="3" t="s">
        <v>43</v>
      </c>
    </row>
    <row r="108" spans="1:24" ht="12.9" customHeight="1" x14ac:dyDescent="0.3">
      <c r="A108" s="3" t="s">
        <v>637</v>
      </c>
      <c r="B108" s="4">
        <v>13695</v>
      </c>
      <c r="C108" s="3" t="s">
        <v>733</v>
      </c>
      <c r="D108" s="3" t="s">
        <v>639</v>
      </c>
      <c r="E108" s="3" t="s">
        <v>640</v>
      </c>
      <c r="F108" s="3" t="s">
        <v>730</v>
      </c>
      <c r="G108" s="3" t="s">
        <v>642</v>
      </c>
      <c r="H108" s="3" t="s">
        <v>731</v>
      </c>
      <c r="I108" s="3" t="s">
        <v>683</v>
      </c>
      <c r="J108" s="3">
        <v>14.853333333333333</v>
      </c>
      <c r="K108" s="3" t="s">
        <v>804</v>
      </c>
      <c r="L108" s="3">
        <v>61.202222222222225</v>
      </c>
      <c r="M108" s="3" t="s">
        <v>834</v>
      </c>
      <c r="N108" s="4">
        <v>260</v>
      </c>
      <c r="O108" s="5">
        <v>43127</v>
      </c>
      <c r="P108" s="5">
        <v>43134</v>
      </c>
      <c r="Q108" s="3" t="s">
        <v>128</v>
      </c>
      <c r="R108" s="3" t="s">
        <v>41</v>
      </c>
      <c r="S108" s="3" t="s">
        <v>756</v>
      </c>
      <c r="T108" s="4">
        <v>0</v>
      </c>
      <c r="U108" s="4">
        <v>1</v>
      </c>
      <c r="V108" s="4">
        <v>0</v>
      </c>
      <c r="W108" s="3" t="s">
        <v>647</v>
      </c>
      <c r="X108" s="3" t="s">
        <v>43</v>
      </c>
    </row>
    <row r="109" spans="1:24" ht="12.9" customHeight="1" x14ac:dyDescent="0.3">
      <c r="A109" s="3" t="s">
        <v>637</v>
      </c>
      <c r="B109" s="4">
        <v>13696</v>
      </c>
      <c r="C109" s="3" t="s">
        <v>734</v>
      </c>
      <c r="D109" s="3" t="s">
        <v>639</v>
      </c>
      <c r="E109" s="3" t="s">
        <v>640</v>
      </c>
      <c r="F109" s="3" t="s">
        <v>730</v>
      </c>
      <c r="G109" s="3" t="s">
        <v>642</v>
      </c>
      <c r="H109" s="3" t="s">
        <v>731</v>
      </c>
      <c r="I109" s="3" t="s">
        <v>683</v>
      </c>
      <c r="J109" s="3">
        <v>14.853333333333333</v>
      </c>
      <c r="K109" s="3" t="s">
        <v>804</v>
      </c>
      <c r="L109" s="3">
        <v>61.202222222222225</v>
      </c>
      <c r="M109" s="3" t="s">
        <v>834</v>
      </c>
      <c r="N109" s="4">
        <v>260</v>
      </c>
      <c r="O109" s="5">
        <v>43127</v>
      </c>
      <c r="P109" s="5">
        <v>43134</v>
      </c>
      <c r="Q109" s="3" t="s">
        <v>136</v>
      </c>
      <c r="R109" s="3" t="s">
        <v>41</v>
      </c>
      <c r="S109" s="3" t="s">
        <v>756</v>
      </c>
      <c r="T109" s="4">
        <v>1</v>
      </c>
      <c r="U109" s="4">
        <v>1</v>
      </c>
      <c r="V109" s="4">
        <v>0</v>
      </c>
      <c r="W109" s="3" t="s">
        <v>647</v>
      </c>
      <c r="X109" s="3" t="s">
        <v>43</v>
      </c>
    </row>
    <row r="110" spans="1:24" ht="12.9" customHeight="1" x14ac:dyDescent="0.3">
      <c r="A110" s="3" t="s">
        <v>637</v>
      </c>
      <c r="B110" s="4">
        <v>13697</v>
      </c>
      <c r="C110" s="3" t="s">
        <v>735</v>
      </c>
      <c r="D110" s="3" t="s">
        <v>639</v>
      </c>
      <c r="E110" s="3" t="s">
        <v>640</v>
      </c>
      <c r="F110" s="3" t="s">
        <v>730</v>
      </c>
      <c r="G110" s="3" t="s">
        <v>642</v>
      </c>
      <c r="H110" s="3" t="s">
        <v>736</v>
      </c>
      <c r="I110" s="3" t="s">
        <v>737</v>
      </c>
      <c r="J110" s="3">
        <v>14.848333333333333</v>
      </c>
      <c r="K110" s="3" t="s">
        <v>805</v>
      </c>
      <c r="L110" s="3">
        <v>61.192500000000003</v>
      </c>
      <c r="M110" s="3" t="s">
        <v>835</v>
      </c>
      <c r="N110" s="4">
        <v>260</v>
      </c>
      <c r="O110" s="5">
        <v>43127</v>
      </c>
      <c r="P110" s="5">
        <v>43134</v>
      </c>
      <c r="Q110" s="3" t="s">
        <v>136</v>
      </c>
      <c r="R110" s="3" t="s">
        <v>41</v>
      </c>
      <c r="S110" s="3" t="s">
        <v>756</v>
      </c>
      <c r="T110" s="4">
        <v>1</v>
      </c>
      <c r="U110" s="4">
        <v>0</v>
      </c>
      <c r="V110" s="4">
        <v>0</v>
      </c>
      <c r="W110" s="3" t="s">
        <v>647</v>
      </c>
      <c r="X110" s="3" t="s">
        <v>43</v>
      </c>
    </row>
    <row r="111" spans="1:24" ht="12.9" customHeight="1" x14ac:dyDescent="0.3">
      <c r="A111" s="3" t="s">
        <v>637</v>
      </c>
      <c r="B111" s="4">
        <v>13698</v>
      </c>
      <c r="C111" s="3" t="s">
        <v>708</v>
      </c>
      <c r="D111" s="3" t="s">
        <v>639</v>
      </c>
      <c r="E111" s="3" t="s">
        <v>640</v>
      </c>
      <c r="F111" s="3" t="s">
        <v>649</v>
      </c>
      <c r="G111" s="3" t="s">
        <v>642</v>
      </c>
      <c r="H111" s="3" t="s">
        <v>650</v>
      </c>
      <c r="I111" s="3" t="s">
        <v>651</v>
      </c>
      <c r="J111" s="3">
        <v>14.740833333333333</v>
      </c>
      <c r="K111" s="3" t="s">
        <v>782</v>
      </c>
      <c r="L111" s="3">
        <v>61.101666666666667</v>
      </c>
      <c r="M111" s="3" t="s">
        <v>813</v>
      </c>
      <c r="N111" s="4">
        <v>658</v>
      </c>
      <c r="O111" s="5">
        <v>43133</v>
      </c>
      <c r="P111" s="5">
        <v>43140</v>
      </c>
      <c r="Q111" s="3" t="s">
        <v>131</v>
      </c>
      <c r="R111" s="3" t="s">
        <v>41</v>
      </c>
      <c r="S111" s="3" t="s">
        <v>756</v>
      </c>
      <c r="T111" s="4">
        <v>2</v>
      </c>
      <c r="U111" s="4">
        <v>3</v>
      </c>
      <c r="V111" s="4">
        <v>0</v>
      </c>
      <c r="W111" s="3" t="s">
        <v>647</v>
      </c>
      <c r="X111" s="3" t="s">
        <v>43</v>
      </c>
    </row>
    <row r="112" spans="1:24" ht="12.9" customHeight="1" x14ac:dyDescent="0.3">
      <c r="A112" s="3" t="s">
        <v>637</v>
      </c>
      <c r="B112" s="4">
        <v>13699</v>
      </c>
      <c r="C112" s="3" t="s">
        <v>648</v>
      </c>
      <c r="D112" s="3" t="s">
        <v>639</v>
      </c>
      <c r="E112" s="3" t="s">
        <v>640</v>
      </c>
      <c r="F112" s="3" t="s">
        <v>649</v>
      </c>
      <c r="G112" s="3" t="s">
        <v>642</v>
      </c>
      <c r="H112" s="3" t="s">
        <v>650</v>
      </c>
      <c r="I112" s="3" t="s">
        <v>651</v>
      </c>
      <c r="J112" s="3">
        <v>14.740833333333333</v>
      </c>
      <c r="K112" s="3" t="s">
        <v>782</v>
      </c>
      <c r="L112" s="3">
        <v>61.101666666666667</v>
      </c>
      <c r="M112" s="3" t="s">
        <v>813</v>
      </c>
      <c r="N112" s="4">
        <v>658</v>
      </c>
      <c r="O112" s="5">
        <v>43133</v>
      </c>
      <c r="P112" s="5">
        <v>43140</v>
      </c>
      <c r="Q112" s="3" t="s">
        <v>128</v>
      </c>
      <c r="R112" s="3" t="s">
        <v>41</v>
      </c>
      <c r="S112" s="3" t="s">
        <v>756</v>
      </c>
      <c r="T112" s="4">
        <v>0</v>
      </c>
      <c r="U112" s="4">
        <v>1</v>
      </c>
      <c r="V112" s="4">
        <v>0</v>
      </c>
      <c r="W112" s="3" t="s">
        <v>647</v>
      </c>
      <c r="X112" s="3" t="s">
        <v>43</v>
      </c>
    </row>
    <row r="113" spans="1:24" ht="12.9" customHeight="1" x14ac:dyDescent="0.3">
      <c r="A113" s="3" t="s">
        <v>637</v>
      </c>
      <c r="B113" s="4">
        <v>13700</v>
      </c>
      <c r="C113" s="3" t="s">
        <v>695</v>
      </c>
      <c r="D113" s="3" t="s">
        <v>639</v>
      </c>
      <c r="E113" s="3" t="s">
        <v>640</v>
      </c>
      <c r="F113" s="3" t="s">
        <v>649</v>
      </c>
      <c r="G113" s="3" t="s">
        <v>642</v>
      </c>
      <c r="H113" s="3" t="s">
        <v>650</v>
      </c>
      <c r="I113" s="3" t="s">
        <v>651</v>
      </c>
      <c r="J113" s="3">
        <v>14.740833333333333</v>
      </c>
      <c r="K113" s="3" t="s">
        <v>782</v>
      </c>
      <c r="L113" s="3">
        <v>61.101666666666667</v>
      </c>
      <c r="M113" s="3" t="s">
        <v>813</v>
      </c>
      <c r="N113" s="4">
        <v>658</v>
      </c>
      <c r="O113" s="5">
        <v>43133</v>
      </c>
      <c r="P113" s="5">
        <v>43140</v>
      </c>
      <c r="Q113" s="3" t="s">
        <v>136</v>
      </c>
      <c r="R113" s="3" t="s">
        <v>41</v>
      </c>
      <c r="S113" s="3" t="s">
        <v>756</v>
      </c>
      <c r="T113" s="4">
        <v>1</v>
      </c>
      <c r="U113" s="4">
        <v>0</v>
      </c>
      <c r="V113" s="4">
        <v>0</v>
      </c>
      <c r="W113" s="3" t="s">
        <v>647</v>
      </c>
      <c r="X113" s="3" t="s">
        <v>43</v>
      </c>
    </row>
    <row r="114" spans="1:24" ht="12.9" customHeight="1" x14ac:dyDescent="0.3">
      <c r="A114" s="3" t="s">
        <v>637</v>
      </c>
      <c r="B114" s="4">
        <v>13701</v>
      </c>
      <c r="C114" s="3" t="s">
        <v>695</v>
      </c>
      <c r="D114" s="3" t="s">
        <v>639</v>
      </c>
      <c r="E114" s="3" t="s">
        <v>640</v>
      </c>
      <c r="F114" s="3" t="s">
        <v>649</v>
      </c>
      <c r="G114" s="3" t="s">
        <v>642</v>
      </c>
      <c r="H114" s="3" t="s">
        <v>650</v>
      </c>
      <c r="I114" s="3" t="s">
        <v>651</v>
      </c>
      <c r="J114" s="3">
        <v>14.740833333333333</v>
      </c>
      <c r="K114" s="3" t="s">
        <v>782</v>
      </c>
      <c r="L114" s="3">
        <v>61.101666666666667</v>
      </c>
      <c r="M114" s="3" t="s">
        <v>813</v>
      </c>
      <c r="N114" s="4">
        <v>658</v>
      </c>
      <c r="O114" s="5">
        <v>43133</v>
      </c>
      <c r="P114" s="5">
        <v>43140</v>
      </c>
      <c r="Q114" s="3" t="s">
        <v>136</v>
      </c>
      <c r="R114" s="3" t="s">
        <v>41</v>
      </c>
      <c r="S114" s="3" t="s">
        <v>756</v>
      </c>
      <c r="T114" s="4">
        <v>3</v>
      </c>
      <c r="U114" s="4">
        <v>0</v>
      </c>
      <c r="V114" s="4">
        <v>0</v>
      </c>
      <c r="W114" s="3" t="s">
        <v>647</v>
      </c>
      <c r="X114" s="3" t="s">
        <v>43</v>
      </c>
    </row>
    <row r="115" spans="1:24" ht="12.9" customHeight="1" x14ac:dyDescent="0.3">
      <c r="A115" s="3" t="s">
        <v>637</v>
      </c>
      <c r="B115" s="4">
        <v>13702</v>
      </c>
      <c r="C115" s="3" t="s">
        <v>696</v>
      </c>
      <c r="D115" s="3" t="s">
        <v>639</v>
      </c>
      <c r="E115" s="3" t="s">
        <v>640</v>
      </c>
      <c r="F115" s="3" t="s">
        <v>649</v>
      </c>
      <c r="G115" s="3" t="s">
        <v>642</v>
      </c>
      <c r="H115" s="3" t="s">
        <v>697</v>
      </c>
      <c r="I115" s="3" t="s">
        <v>698</v>
      </c>
      <c r="J115" s="3">
        <v>14.741388888888888</v>
      </c>
      <c r="K115" s="3" t="s">
        <v>796</v>
      </c>
      <c r="L115" s="3">
        <v>61.101111111111109</v>
      </c>
      <c r="M115" s="3" t="s">
        <v>827</v>
      </c>
      <c r="N115" s="4">
        <v>657</v>
      </c>
      <c r="O115" s="5">
        <v>43133</v>
      </c>
      <c r="P115" s="5">
        <v>43140</v>
      </c>
      <c r="Q115" s="3" t="s">
        <v>136</v>
      </c>
      <c r="R115" s="3" t="s">
        <v>41</v>
      </c>
      <c r="S115" s="3" t="s">
        <v>756</v>
      </c>
      <c r="T115" s="4">
        <v>3</v>
      </c>
      <c r="U115" s="4">
        <v>1</v>
      </c>
      <c r="V115" s="4">
        <v>0</v>
      </c>
      <c r="W115" s="3" t="s">
        <v>647</v>
      </c>
      <c r="X115" s="3" t="s">
        <v>43</v>
      </c>
    </row>
    <row r="116" spans="1:24" ht="12.9" customHeight="1" x14ac:dyDescent="0.3">
      <c r="A116" s="3" t="s">
        <v>637</v>
      </c>
      <c r="B116" s="4">
        <v>13703</v>
      </c>
      <c r="C116" s="3" t="s">
        <v>720</v>
      </c>
      <c r="D116" s="3" t="s">
        <v>639</v>
      </c>
      <c r="E116" s="3" t="s">
        <v>640</v>
      </c>
      <c r="F116" s="3" t="s">
        <v>649</v>
      </c>
      <c r="G116" s="3" t="s">
        <v>642</v>
      </c>
      <c r="H116" s="3" t="s">
        <v>721</v>
      </c>
      <c r="I116" s="3" t="s">
        <v>722</v>
      </c>
      <c r="J116" s="3">
        <v>14.743333333333334</v>
      </c>
      <c r="K116" s="3" t="s">
        <v>802</v>
      </c>
      <c r="L116" s="3">
        <v>62.248888888888892</v>
      </c>
      <c r="M116" s="3" t="s">
        <v>832</v>
      </c>
      <c r="N116" s="4">
        <v>656</v>
      </c>
      <c r="O116" s="5">
        <v>43133</v>
      </c>
      <c r="P116" s="5">
        <v>43140</v>
      </c>
      <c r="Q116" s="3" t="s">
        <v>136</v>
      </c>
      <c r="R116" s="3" t="s">
        <v>41</v>
      </c>
      <c r="S116" s="3" t="s">
        <v>756</v>
      </c>
      <c r="T116" s="4">
        <v>1</v>
      </c>
      <c r="U116" s="4">
        <v>0</v>
      </c>
      <c r="V116" s="4">
        <v>0</v>
      </c>
      <c r="W116" s="3" t="s">
        <v>647</v>
      </c>
      <c r="X116" s="3" t="s">
        <v>43</v>
      </c>
    </row>
    <row r="117" spans="1:24" ht="12.9" customHeight="1" x14ac:dyDescent="0.3">
      <c r="A117" s="3" t="s">
        <v>637</v>
      </c>
      <c r="B117" s="4">
        <v>13704</v>
      </c>
      <c r="C117" s="3" t="s">
        <v>653</v>
      </c>
      <c r="D117" s="3" t="s">
        <v>639</v>
      </c>
      <c r="E117" s="3" t="s">
        <v>640</v>
      </c>
      <c r="F117" s="3" t="s">
        <v>654</v>
      </c>
      <c r="G117" s="3" t="s">
        <v>642</v>
      </c>
      <c r="H117" s="3" t="s">
        <v>655</v>
      </c>
      <c r="I117" s="3" t="s">
        <v>644</v>
      </c>
      <c r="J117" s="3">
        <v>14.89</v>
      </c>
      <c r="K117" s="3" t="s">
        <v>783</v>
      </c>
      <c r="L117" s="3">
        <v>61.095277777777781</v>
      </c>
      <c r="M117" s="3" t="s">
        <v>814</v>
      </c>
      <c r="N117" s="4">
        <v>357</v>
      </c>
      <c r="O117" s="5">
        <v>43123</v>
      </c>
      <c r="P117" s="5">
        <v>43130</v>
      </c>
      <c r="Q117" s="3" t="s">
        <v>131</v>
      </c>
      <c r="R117" s="3" t="s">
        <v>41</v>
      </c>
      <c r="S117" s="3" t="s">
        <v>756</v>
      </c>
      <c r="T117" s="4">
        <v>7</v>
      </c>
      <c r="U117" s="4">
        <v>0</v>
      </c>
      <c r="V117" s="4">
        <v>0</v>
      </c>
      <c r="W117" s="3" t="s">
        <v>647</v>
      </c>
      <c r="X117" s="3" t="s">
        <v>43</v>
      </c>
    </row>
    <row r="118" spans="1:24" ht="12.9" customHeight="1" x14ac:dyDescent="0.3">
      <c r="A118" s="3" t="s">
        <v>637</v>
      </c>
      <c r="B118" s="4">
        <v>13705</v>
      </c>
      <c r="C118" s="3" t="s">
        <v>738</v>
      </c>
      <c r="D118" s="3" t="s">
        <v>639</v>
      </c>
      <c r="E118" s="3" t="s">
        <v>640</v>
      </c>
      <c r="F118" s="3" t="s">
        <v>654</v>
      </c>
      <c r="G118" s="3" t="s">
        <v>642</v>
      </c>
      <c r="H118" s="3" t="s">
        <v>655</v>
      </c>
      <c r="I118" s="3" t="s">
        <v>644</v>
      </c>
      <c r="J118" s="3">
        <v>14.89</v>
      </c>
      <c r="K118" s="3" t="s">
        <v>783</v>
      </c>
      <c r="L118" s="3">
        <v>61.095277777777781</v>
      </c>
      <c r="M118" s="3" t="s">
        <v>814</v>
      </c>
      <c r="N118" s="4">
        <v>357</v>
      </c>
      <c r="O118" s="5">
        <v>43123</v>
      </c>
      <c r="P118" s="5">
        <v>43130</v>
      </c>
      <c r="Q118" s="3" t="s">
        <v>128</v>
      </c>
      <c r="R118" s="3" t="s">
        <v>41</v>
      </c>
      <c r="S118" s="3" t="s">
        <v>756</v>
      </c>
      <c r="T118" s="4">
        <v>4</v>
      </c>
      <c r="U118" s="4">
        <v>1</v>
      </c>
      <c r="V118" s="4">
        <v>0</v>
      </c>
      <c r="W118" s="3" t="s">
        <v>647</v>
      </c>
      <c r="X118" s="3" t="s">
        <v>43</v>
      </c>
    </row>
    <row r="119" spans="1:24" ht="12.9" customHeight="1" x14ac:dyDescent="0.3">
      <c r="A119" s="3" t="s">
        <v>637</v>
      </c>
      <c r="B119" s="4">
        <v>13706</v>
      </c>
      <c r="C119" s="3" t="s">
        <v>656</v>
      </c>
      <c r="D119" s="3" t="s">
        <v>639</v>
      </c>
      <c r="E119" s="3" t="s">
        <v>640</v>
      </c>
      <c r="F119" s="3" t="s">
        <v>654</v>
      </c>
      <c r="G119" s="3" t="s">
        <v>642</v>
      </c>
      <c r="H119" s="3" t="s">
        <v>657</v>
      </c>
      <c r="I119" s="3" t="s">
        <v>644</v>
      </c>
      <c r="J119" s="3">
        <v>14.892777777777777</v>
      </c>
      <c r="K119" s="3" t="s">
        <v>784</v>
      </c>
      <c r="L119" s="3">
        <v>61.101944444444442</v>
      </c>
      <c r="M119" s="3" t="s">
        <v>815</v>
      </c>
      <c r="N119" s="4">
        <v>374</v>
      </c>
      <c r="O119" s="5">
        <v>43123</v>
      </c>
      <c r="P119" s="5">
        <v>43130</v>
      </c>
      <c r="Q119" s="3" t="s">
        <v>136</v>
      </c>
      <c r="R119" s="3" t="s">
        <v>41</v>
      </c>
      <c r="S119" s="3" t="s">
        <v>756</v>
      </c>
      <c r="T119" s="4">
        <v>0</v>
      </c>
      <c r="U119" s="4">
        <v>1</v>
      </c>
      <c r="V119" s="4">
        <v>0</v>
      </c>
      <c r="W119" s="3" t="s">
        <v>647</v>
      </c>
      <c r="X119" s="3" t="s">
        <v>43</v>
      </c>
    </row>
    <row r="120" spans="1:24" ht="12.9" customHeight="1" x14ac:dyDescent="0.3">
      <c r="A120" s="3" t="s">
        <v>637</v>
      </c>
      <c r="B120" s="4">
        <v>13707</v>
      </c>
      <c r="C120" s="3" t="s">
        <v>658</v>
      </c>
      <c r="D120" s="3" t="s">
        <v>639</v>
      </c>
      <c r="E120" s="3" t="s">
        <v>640</v>
      </c>
      <c r="F120" s="3" t="s">
        <v>641</v>
      </c>
      <c r="G120" s="3" t="s">
        <v>642</v>
      </c>
      <c r="H120" s="3" t="s">
        <v>643</v>
      </c>
      <c r="I120" s="3" t="s">
        <v>644</v>
      </c>
      <c r="J120" s="3">
        <v>14.878888888888889</v>
      </c>
      <c r="K120" s="3" t="s">
        <v>645</v>
      </c>
      <c r="L120" s="3">
        <v>61.099444444444444</v>
      </c>
      <c r="M120" s="3" t="s">
        <v>812</v>
      </c>
      <c r="N120" s="4">
        <v>333</v>
      </c>
      <c r="O120" s="5">
        <v>43123</v>
      </c>
      <c r="P120" s="5">
        <v>43130</v>
      </c>
      <c r="Q120" s="3" t="s">
        <v>131</v>
      </c>
      <c r="R120" s="3" t="s">
        <v>41</v>
      </c>
      <c r="S120" s="3" t="s">
        <v>756</v>
      </c>
      <c r="T120" s="4">
        <v>1</v>
      </c>
      <c r="U120" s="4">
        <v>0</v>
      </c>
      <c r="V120" s="4">
        <v>0</v>
      </c>
      <c r="W120" s="3" t="s">
        <v>647</v>
      </c>
      <c r="X120" s="3" t="s">
        <v>43</v>
      </c>
    </row>
    <row r="121" spans="1:24" ht="12.9" customHeight="1" x14ac:dyDescent="0.3">
      <c r="A121" s="3" t="s">
        <v>637</v>
      </c>
      <c r="B121" s="4">
        <v>13708</v>
      </c>
      <c r="C121" s="3" t="s">
        <v>741</v>
      </c>
      <c r="D121" s="3" t="s">
        <v>639</v>
      </c>
      <c r="E121" s="3" t="s">
        <v>640</v>
      </c>
      <c r="F121" s="3" t="s">
        <v>641</v>
      </c>
      <c r="G121" s="3" t="s">
        <v>642</v>
      </c>
      <c r="H121" s="3" t="s">
        <v>643</v>
      </c>
      <c r="I121" s="3" t="s">
        <v>644</v>
      </c>
      <c r="J121" s="3">
        <v>14.878888888888889</v>
      </c>
      <c r="K121" s="3" t="s">
        <v>645</v>
      </c>
      <c r="L121" s="3">
        <v>61.099444444444444</v>
      </c>
      <c r="M121" s="3" t="s">
        <v>812</v>
      </c>
      <c r="N121" s="4">
        <v>333</v>
      </c>
      <c r="O121" s="5">
        <v>43123</v>
      </c>
      <c r="P121" s="5">
        <v>43130</v>
      </c>
      <c r="Q121" s="3" t="s">
        <v>128</v>
      </c>
      <c r="R121" s="3" t="s">
        <v>41</v>
      </c>
      <c r="S121" s="3" t="s">
        <v>756</v>
      </c>
      <c r="T121" s="4">
        <v>1</v>
      </c>
      <c r="U121" s="4">
        <v>0</v>
      </c>
      <c r="V121" s="4">
        <v>0</v>
      </c>
      <c r="W121" s="3" t="s">
        <v>647</v>
      </c>
      <c r="X121" s="3" t="s">
        <v>43</v>
      </c>
    </row>
    <row r="122" spans="1:24" ht="12.9" customHeight="1" x14ac:dyDescent="0.3">
      <c r="A122" s="3" t="s">
        <v>637</v>
      </c>
      <c r="B122" s="4">
        <v>13709</v>
      </c>
      <c r="C122" s="3" t="s">
        <v>638</v>
      </c>
      <c r="D122" s="3" t="s">
        <v>639</v>
      </c>
      <c r="E122" s="3" t="s">
        <v>640</v>
      </c>
      <c r="F122" s="3" t="s">
        <v>641</v>
      </c>
      <c r="G122" s="3" t="s">
        <v>642</v>
      </c>
      <c r="H122" s="3" t="s">
        <v>643</v>
      </c>
      <c r="I122" s="3" t="s">
        <v>644</v>
      </c>
      <c r="J122" s="3">
        <v>14.878888888888889</v>
      </c>
      <c r="K122" s="3" t="s">
        <v>645</v>
      </c>
      <c r="L122" s="3">
        <v>61.099444444444444</v>
      </c>
      <c r="M122" s="3" t="s">
        <v>812</v>
      </c>
      <c r="N122" s="4">
        <v>333</v>
      </c>
      <c r="O122" s="5">
        <v>43123</v>
      </c>
      <c r="P122" s="5">
        <v>43130</v>
      </c>
      <c r="Q122" s="3" t="s">
        <v>136</v>
      </c>
      <c r="R122" s="3" t="s">
        <v>41</v>
      </c>
      <c r="S122" s="3" t="s">
        <v>756</v>
      </c>
      <c r="T122" s="4">
        <v>1</v>
      </c>
      <c r="U122" s="4">
        <v>1</v>
      </c>
      <c r="V122" s="4">
        <v>0</v>
      </c>
      <c r="W122" s="3" t="s">
        <v>647</v>
      </c>
      <c r="X122" s="3" t="s">
        <v>43</v>
      </c>
    </row>
    <row r="123" spans="1:24" ht="12.9" customHeight="1" x14ac:dyDescent="0.3">
      <c r="A123" s="3" t="s">
        <v>637</v>
      </c>
      <c r="B123" s="4">
        <v>13710</v>
      </c>
      <c r="C123" s="3" t="s">
        <v>699</v>
      </c>
      <c r="D123" s="3" t="s">
        <v>639</v>
      </c>
      <c r="E123" s="3" t="s">
        <v>640</v>
      </c>
      <c r="F123" s="3" t="s">
        <v>700</v>
      </c>
      <c r="G123" s="3" t="s">
        <v>642</v>
      </c>
      <c r="H123" s="3" t="s">
        <v>701</v>
      </c>
      <c r="I123" s="3" t="s">
        <v>702</v>
      </c>
      <c r="J123" s="3">
        <v>14.795</v>
      </c>
      <c r="K123" s="3" t="s">
        <v>797</v>
      </c>
      <c r="L123" s="3">
        <v>61.194166666666668</v>
      </c>
      <c r="M123" s="3" t="s">
        <v>828</v>
      </c>
      <c r="N123" s="4">
        <v>453</v>
      </c>
      <c r="O123" s="5">
        <v>43126</v>
      </c>
      <c r="P123" s="5">
        <v>43133</v>
      </c>
      <c r="Q123" s="3" t="s">
        <v>128</v>
      </c>
      <c r="R123" s="3" t="s">
        <v>41</v>
      </c>
      <c r="S123" s="3" t="s">
        <v>756</v>
      </c>
      <c r="T123" s="4">
        <v>0</v>
      </c>
      <c r="U123" s="4">
        <v>1</v>
      </c>
      <c r="V123" s="4">
        <v>0</v>
      </c>
      <c r="W123" s="3" t="s">
        <v>647</v>
      </c>
      <c r="X123" s="3" t="s">
        <v>43</v>
      </c>
    </row>
    <row r="124" spans="1:24" ht="12.9" customHeight="1" x14ac:dyDescent="0.3">
      <c r="A124" s="3" t="s">
        <v>637</v>
      </c>
      <c r="B124" s="4">
        <v>13711</v>
      </c>
      <c r="C124" s="3" t="s">
        <v>745</v>
      </c>
      <c r="D124" s="3" t="s">
        <v>639</v>
      </c>
      <c r="E124" s="3" t="s">
        <v>640</v>
      </c>
      <c r="F124" s="3" t="s">
        <v>700</v>
      </c>
      <c r="G124" s="3" t="s">
        <v>642</v>
      </c>
      <c r="H124" s="3" t="s">
        <v>701</v>
      </c>
      <c r="I124" s="3" t="s">
        <v>702</v>
      </c>
      <c r="J124" s="3">
        <v>14.795</v>
      </c>
      <c r="K124" s="3" t="s">
        <v>797</v>
      </c>
      <c r="L124" s="3">
        <v>61.194166666666668</v>
      </c>
      <c r="M124" s="3" t="s">
        <v>828</v>
      </c>
      <c r="N124" s="4">
        <v>453</v>
      </c>
      <c r="O124" s="5">
        <v>43126</v>
      </c>
      <c r="P124" s="5">
        <v>43133</v>
      </c>
      <c r="Q124" s="3" t="s">
        <v>136</v>
      </c>
      <c r="R124" s="3" t="s">
        <v>41</v>
      </c>
      <c r="S124" s="3" t="s">
        <v>756</v>
      </c>
      <c r="T124" s="4">
        <v>2</v>
      </c>
      <c r="U124" s="4">
        <v>0</v>
      </c>
      <c r="V124" s="4">
        <v>0</v>
      </c>
      <c r="W124" s="3" t="s">
        <v>647</v>
      </c>
      <c r="X124" s="3" t="s">
        <v>43</v>
      </c>
    </row>
    <row r="125" spans="1:24" ht="12.9" customHeight="1" x14ac:dyDescent="0.3">
      <c r="A125" s="3" t="s">
        <v>637</v>
      </c>
      <c r="B125" s="4">
        <v>13712</v>
      </c>
      <c r="C125" s="3" t="s">
        <v>710</v>
      </c>
      <c r="D125" s="3" t="s">
        <v>639</v>
      </c>
      <c r="E125" s="3" t="s">
        <v>640</v>
      </c>
      <c r="F125" s="3" t="s">
        <v>662</v>
      </c>
      <c r="G125" s="3" t="s">
        <v>642</v>
      </c>
      <c r="H125" s="3" t="s">
        <v>711</v>
      </c>
      <c r="I125" s="3" t="s">
        <v>702</v>
      </c>
      <c r="J125" s="3">
        <v>14.759166666666667</v>
      </c>
      <c r="K125" s="3" t="s">
        <v>799</v>
      </c>
      <c r="L125" s="3">
        <v>61.213333333333331</v>
      </c>
      <c r="M125" s="3" t="s">
        <v>830</v>
      </c>
      <c r="N125" s="4">
        <v>486</v>
      </c>
      <c r="O125" s="5">
        <v>43126</v>
      </c>
      <c r="P125" s="5">
        <v>43133</v>
      </c>
      <c r="Q125" s="3" t="s">
        <v>136</v>
      </c>
      <c r="R125" s="3" t="s">
        <v>41</v>
      </c>
      <c r="S125" s="3" t="s">
        <v>756</v>
      </c>
      <c r="T125" s="4">
        <v>0</v>
      </c>
      <c r="U125" s="4">
        <v>2</v>
      </c>
      <c r="V125" s="4">
        <v>0</v>
      </c>
      <c r="W125" s="3" t="s">
        <v>647</v>
      </c>
      <c r="X125" s="3" t="s">
        <v>43</v>
      </c>
    </row>
    <row r="126" spans="1:24" ht="12.9" customHeight="1" x14ac:dyDescent="0.3">
      <c r="A126" s="3" t="s">
        <v>637</v>
      </c>
      <c r="B126" s="4">
        <v>13713</v>
      </c>
      <c r="C126" s="3" t="s">
        <v>661</v>
      </c>
      <c r="D126" s="3" t="s">
        <v>639</v>
      </c>
      <c r="E126" s="3" t="s">
        <v>640</v>
      </c>
      <c r="F126" s="3" t="s">
        <v>662</v>
      </c>
      <c r="G126" s="3" t="s">
        <v>642</v>
      </c>
      <c r="H126" s="3" t="s">
        <v>663</v>
      </c>
      <c r="I126" s="3" t="s">
        <v>664</v>
      </c>
      <c r="J126" s="3">
        <v>14.761944444444444</v>
      </c>
      <c r="K126" s="3" t="s">
        <v>786</v>
      </c>
      <c r="L126" s="3">
        <v>61.083333333333336</v>
      </c>
      <c r="M126" s="3" t="s">
        <v>817</v>
      </c>
      <c r="N126" s="4">
        <v>497</v>
      </c>
      <c r="O126" s="5">
        <v>43126</v>
      </c>
      <c r="P126" s="5">
        <v>43133</v>
      </c>
      <c r="Q126" s="3" t="s">
        <v>136</v>
      </c>
      <c r="R126" s="3" t="s">
        <v>41</v>
      </c>
      <c r="S126" s="3" t="s">
        <v>756</v>
      </c>
      <c r="T126" s="4">
        <v>0</v>
      </c>
      <c r="U126" s="4">
        <v>1</v>
      </c>
      <c r="V126" s="4">
        <v>0</v>
      </c>
      <c r="W126" s="3" t="s">
        <v>647</v>
      </c>
      <c r="X126" s="3" t="s">
        <v>43</v>
      </c>
    </row>
    <row r="127" spans="1:24" ht="12.9" customHeight="1" x14ac:dyDescent="0.3">
      <c r="A127" s="3" t="s">
        <v>637</v>
      </c>
      <c r="B127" s="4">
        <v>13714</v>
      </c>
      <c r="C127" s="3" t="s">
        <v>665</v>
      </c>
      <c r="D127" s="3" t="s">
        <v>639</v>
      </c>
      <c r="E127" s="3" t="s">
        <v>640</v>
      </c>
      <c r="F127" s="3" t="s">
        <v>666</v>
      </c>
      <c r="G127" s="3" t="s">
        <v>642</v>
      </c>
      <c r="H127" s="3" t="s">
        <v>667</v>
      </c>
      <c r="I127" s="3" t="s">
        <v>644</v>
      </c>
      <c r="J127" s="3">
        <v>14.731666666666667</v>
      </c>
      <c r="K127" s="3" t="s">
        <v>787</v>
      </c>
      <c r="L127" s="3">
        <v>61.205833333333331</v>
      </c>
      <c r="M127" s="3" t="s">
        <v>818</v>
      </c>
      <c r="N127" s="4">
        <v>554</v>
      </c>
      <c r="O127" s="5">
        <v>43122</v>
      </c>
      <c r="P127" s="5">
        <v>43129</v>
      </c>
      <c r="Q127" s="3" t="s">
        <v>131</v>
      </c>
      <c r="R127" s="3" t="s">
        <v>668</v>
      </c>
      <c r="S127" s="3" t="s">
        <v>756</v>
      </c>
      <c r="T127" s="4">
        <v>0</v>
      </c>
      <c r="U127" s="4">
        <v>2</v>
      </c>
      <c r="V127" s="4">
        <v>0</v>
      </c>
      <c r="W127" s="3" t="s">
        <v>647</v>
      </c>
      <c r="X127" s="3" t="s">
        <v>43</v>
      </c>
    </row>
    <row r="128" spans="1:24" ht="12.9" customHeight="1" x14ac:dyDescent="0.3">
      <c r="A128" s="3" t="s">
        <v>637</v>
      </c>
      <c r="B128" s="4">
        <v>13715</v>
      </c>
      <c r="C128" s="3" t="s">
        <v>669</v>
      </c>
      <c r="D128" s="3" t="s">
        <v>639</v>
      </c>
      <c r="E128" s="3" t="s">
        <v>640</v>
      </c>
      <c r="F128" s="3" t="s">
        <v>666</v>
      </c>
      <c r="G128" s="3" t="s">
        <v>642</v>
      </c>
      <c r="H128" s="3" t="s">
        <v>667</v>
      </c>
      <c r="I128" s="3" t="s">
        <v>644</v>
      </c>
      <c r="J128" s="3">
        <v>14.731666666666667</v>
      </c>
      <c r="K128" s="3" t="s">
        <v>787</v>
      </c>
      <c r="L128" s="3">
        <v>61.205833333333331</v>
      </c>
      <c r="M128" s="3" t="s">
        <v>818</v>
      </c>
      <c r="N128" s="4">
        <v>554</v>
      </c>
      <c r="O128" s="5">
        <v>43122</v>
      </c>
      <c r="P128" s="5">
        <v>43129</v>
      </c>
      <c r="Q128" s="3" t="s">
        <v>128</v>
      </c>
      <c r="R128" s="3" t="s">
        <v>668</v>
      </c>
      <c r="S128" s="3" t="s">
        <v>756</v>
      </c>
      <c r="T128" s="4">
        <v>0</v>
      </c>
      <c r="U128" s="4">
        <v>1</v>
      </c>
      <c r="V128" s="4">
        <v>0</v>
      </c>
      <c r="W128" s="3" t="s">
        <v>647</v>
      </c>
      <c r="X128" s="3" t="s">
        <v>43</v>
      </c>
    </row>
    <row r="129" spans="1:24" ht="12.9" customHeight="1" x14ac:dyDescent="0.3">
      <c r="A129" s="3" t="s">
        <v>637</v>
      </c>
      <c r="B129" s="4">
        <v>13716</v>
      </c>
      <c r="C129" s="3" t="s">
        <v>669</v>
      </c>
      <c r="D129" s="3" t="s">
        <v>639</v>
      </c>
      <c r="E129" s="3" t="s">
        <v>640</v>
      </c>
      <c r="F129" s="3" t="s">
        <v>666</v>
      </c>
      <c r="G129" s="3" t="s">
        <v>642</v>
      </c>
      <c r="H129" s="3" t="s">
        <v>667</v>
      </c>
      <c r="I129" s="3" t="s">
        <v>644</v>
      </c>
      <c r="J129" s="3">
        <v>14.731666666666667</v>
      </c>
      <c r="K129" s="3" t="s">
        <v>787</v>
      </c>
      <c r="L129" s="3">
        <v>61.205833333333331</v>
      </c>
      <c r="M129" s="3" t="s">
        <v>818</v>
      </c>
      <c r="N129" s="4">
        <v>554</v>
      </c>
      <c r="O129" s="5">
        <v>43122</v>
      </c>
      <c r="P129" s="5">
        <v>43129</v>
      </c>
      <c r="Q129" s="3" t="s">
        <v>128</v>
      </c>
      <c r="R129" s="3" t="s">
        <v>668</v>
      </c>
      <c r="S129" s="3" t="s">
        <v>756</v>
      </c>
      <c r="T129" s="4">
        <v>1</v>
      </c>
      <c r="U129" s="4">
        <v>0</v>
      </c>
      <c r="V129" s="4">
        <v>0</v>
      </c>
      <c r="W129" s="3" t="s">
        <v>647</v>
      </c>
      <c r="X129" s="3" t="s">
        <v>43</v>
      </c>
    </row>
    <row r="130" spans="1:24" ht="12.9" customHeight="1" x14ac:dyDescent="0.3">
      <c r="A130" s="3" t="s">
        <v>637</v>
      </c>
      <c r="B130" s="4">
        <v>13717</v>
      </c>
      <c r="C130" s="3" t="s">
        <v>746</v>
      </c>
      <c r="D130" s="3" t="s">
        <v>639</v>
      </c>
      <c r="E130" s="3" t="s">
        <v>640</v>
      </c>
      <c r="F130" s="3" t="s">
        <v>666</v>
      </c>
      <c r="G130" s="3" t="s">
        <v>642</v>
      </c>
      <c r="H130" s="3" t="s">
        <v>667</v>
      </c>
      <c r="I130" s="3" t="s">
        <v>644</v>
      </c>
      <c r="J130" s="3">
        <v>14.731666666666667</v>
      </c>
      <c r="K130" s="3" t="s">
        <v>787</v>
      </c>
      <c r="L130" s="3">
        <v>61.205833333333331</v>
      </c>
      <c r="M130" s="3" t="s">
        <v>818</v>
      </c>
      <c r="N130" s="4">
        <v>554</v>
      </c>
      <c r="O130" s="5">
        <v>43122</v>
      </c>
      <c r="P130" s="5">
        <v>43129</v>
      </c>
      <c r="Q130" s="3" t="s">
        <v>136</v>
      </c>
      <c r="R130" s="3" t="s">
        <v>41</v>
      </c>
      <c r="S130" s="3" t="s">
        <v>756</v>
      </c>
      <c r="T130" s="4">
        <v>0</v>
      </c>
      <c r="U130" s="4">
        <v>2</v>
      </c>
      <c r="V130" s="4">
        <v>0</v>
      </c>
      <c r="W130" s="3" t="s">
        <v>647</v>
      </c>
      <c r="X130" s="3" t="s">
        <v>43</v>
      </c>
    </row>
    <row r="131" spans="1:24" ht="12.9" customHeight="1" x14ac:dyDescent="0.3">
      <c r="A131" s="3" t="s">
        <v>637</v>
      </c>
      <c r="B131" s="4">
        <v>13718</v>
      </c>
      <c r="C131" s="3" t="s">
        <v>670</v>
      </c>
      <c r="D131" s="3" t="s">
        <v>639</v>
      </c>
      <c r="E131" s="3" t="s">
        <v>640</v>
      </c>
      <c r="F131" s="3" t="s">
        <v>666</v>
      </c>
      <c r="G131" s="3" t="s">
        <v>642</v>
      </c>
      <c r="H131" s="3" t="s">
        <v>671</v>
      </c>
      <c r="I131" s="3" t="s">
        <v>644</v>
      </c>
      <c r="J131" s="3">
        <v>14.7425</v>
      </c>
      <c r="K131" s="3" t="s">
        <v>788</v>
      </c>
      <c r="L131" s="3">
        <v>61.215555555555554</v>
      </c>
      <c r="M131" s="3" t="s">
        <v>819</v>
      </c>
      <c r="N131" s="4">
        <v>599</v>
      </c>
      <c r="O131" s="5">
        <v>43122</v>
      </c>
      <c r="P131" s="5">
        <v>43129</v>
      </c>
      <c r="Q131" s="3" t="s">
        <v>136</v>
      </c>
      <c r="R131" s="3" t="s">
        <v>668</v>
      </c>
      <c r="S131" s="3" t="s">
        <v>756</v>
      </c>
      <c r="T131" s="4">
        <v>0</v>
      </c>
      <c r="U131" s="4">
        <v>1</v>
      </c>
      <c r="V131" s="4">
        <v>0</v>
      </c>
      <c r="W131" s="3" t="s">
        <v>647</v>
      </c>
      <c r="X131" s="3" t="s">
        <v>43</v>
      </c>
    </row>
    <row r="132" spans="1:24" ht="12.9" customHeight="1" x14ac:dyDescent="0.3">
      <c r="A132" s="3" t="s">
        <v>637</v>
      </c>
      <c r="B132" s="4">
        <v>13719</v>
      </c>
      <c r="C132" s="3" t="s">
        <v>672</v>
      </c>
      <c r="D132" s="3" t="s">
        <v>639</v>
      </c>
      <c r="E132" s="3" t="s">
        <v>640</v>
      </c>
      <c r="F132" s="3" t="s">
        <v>673</v>
      </c>
      <c r="G132" s="3" t="s">
        <v>642</v>
      </c>
      <c r="H132" s="3" t="s">
        <v>674</v>
      </c>
      <c r="I132" s="3" t="s">
        <v>664</v>
      </c>
      <c r="J132" s="3">
        <v>14.820833333333333</v>
      </c>
      <c r="K132" s="3" t="s">
        <v>789</v>
      </c>
      <c r="L132" s="3">
        <v>61.136666666666663</v>
      </c>
      <c r="M132" s="3" t="s">
        <v>820</v>
      </c>
      <c r="N132" s="4">
        <v>524</v>
      </c>
      <c r="O132" s="5">
        <v>43124</v>
      </c>
      <c r="P132" s="5">
        <v>43131</v>
      </c>
      <c r="Q132" s="3" t="s">
        <v>136</v>
      </c>
      <c r="R132" s="3" t="s">
        <v>41</v>
      </c>
      <c r="S132" s="3" t="s">
        <v>756</v>
      </c>
      <c r="T132" s="4">
        <v>0</v>
      </c>
      <c r="U132" s="4">
        <v>2</v>
      </c>
      <c r="V132" s="4">
        <v>0</v>
      </c>
      <c r="W132" s="3" t="s">
        <v>647</v>
      </c>
      <c r="X132" s="3" t="s">
        <v>43</v>
      </c>
    </row>
    <row r="133" spans="1:24" ht="12.9" customHeight="1" x14ac:dyDescent="0.3">
      <c r="A133" s="3" t="s">
        <v>637</v>
      </c>
      <c r="B133" s="4">
        <v>13720</v>
      </c>
      <c r="C133" s="3" t="s">
        <v>747</v>
      </c>
      <c r="D133" s="3" t="s">
        <v>639</v>
      </c>
      <c r="E133" s="3" t="s">
        <v>640</v>
      </c>
      <c r="F133" s="3" t="s">
        <v>681</v>
      </c>
      <c r="G133" s="3" t="s">
        <v>642</v>
      </c>
      <c r="H133" s="3" t="s">
        <v>682</v>
      </c>
      <c r="I133" s="3" t="s">
        <v>683</v>
      </c>
      <c r="J133" s="3">
        <v>14.791388888888889</v>
      </c>
      <c r="K133" s="3" t="s">
        <v>792</v>
      </c>
      <c r="L133" s="3">
        <v>61.163611111111109</v>
      </c>
      <c r="M133" s="3" t="s">
        <v>823</v>
      </c>
      <c r="N133" s="4">
        <v>585</v>
      </c>
      <c r="O133" s="5">
        <v>43125</v>
      </c>
      <c r="P133" s="5">
        <v>43132</v>
      </c>
      <c r="Q133" s="3" t="s">
        <v>136</v>
      </c>
      <c r="R133" s="3" t="s">
        <v>41</v>
      </c>
      <c r="S133" s="3" t="s">
        <v>756</v>
      </c>
      <c r="T133" s="4">
        <v>1</v>
      </c>
      <c r="U133" s="4">
        <v>1</v>
      </c>
      <c r="V133" s="4">
        <v>0</v>
      </c>
      <c r="W133" s="3" t="s">
        <v>647</v>
      </c>
      <c r="X133" s="3" t="s">
        <v>43</v>
      </c>
    </row>
    <row r="134" spans="1:24" ht="12.9" customHeight="1" x14ac:dyDescent="0.3">
      <c r="A134" s="3" t="s">
        <v>637</v>
      </c>
      <c r="B134" s="4">
        <v>13721</v>
      </c>
      <c r="C134" s="3" t="s">
        <v>684</v>
      </c>
      <c r="D134" s="3" t="s">
        <v>639</v>
      </c>
      <c r="E134" s="3" t="s">
        <v>640</v>
      </c>
      <c r="F134" s="3" t="s">
        <v>681</v>
      </c>
      <c r="G134" s="3" t="s">
        <v>642</v>
      </c>
      <c r="H134" s="3" t="s">
        <v>685</v>
      </c>
      <c r="I134" s="3" t="s">
        <v>686</v>
      </c>
      <c r="J134" s="3">
        <v>14.819722222222222</v>
      </c>
      <c r="K134" s="3" t="s">
        <v>793</v>
      </c>
      <c r="L134" s="3">
        <v>61.215000000000003</v>
      </c>
      <c r="M134" s="3" t="s">
        <v>824</v>
      </c>
      <c r="N134" s="4">
        <v>609</v>
      </c>
      <c r="O134" s="5">
        <v>43125</v>
      </c>
      <c r="P134" s="5">
        <v>43132</v>
      </c>
      <c r="Q134" s="3" t="s">
        <v>136</v>
      </c>
      <c r="R134" s="3" t="s">
        <v>41</v>
      </c>
      <c r="S134" s="3" t="s">
        <v>756</v>
      </c>
      <c r="T134" s="4">
        <v>0</v>
      </c>
      <c r="U134" s="4">
        <v>1</v>
      </c>
      <c r="V134" s="4">
        <v>0</v>
      </c>
      <c r="W134" s="3" t="s">
        <v>647</v>
      </c>
      <c r="X134" s="3" t="s">
        <v>43</v>
      </c>
    </row>
    <row r="135" spans="1:24" ht="12.9" customHeight="1" x14ac:dyDescent="0.3">
      <c r="A135" s="3" t="s">
        <v>637</v>
      </c>
      <c r="B135" s="4">
        <v>13722</v>
      </c>
      <c r="C135" s="3" t="s">
        <v>754</v>
      </c>
      <c r="D135" s="3" t="s">
        <v>639</v>
      </c>
      <c r="E135" s="3" t="s">
        <v>640</v>
      </c>
      <c r="F135" s="3" t="s">
        <v>641</v>
      </c>
      <c r="G135" s="3" t="s">
        <v>642</v>
      </c>
      <c r="H135" s="3" t="s">
        <v>643</v>
      </c>
      <c r="I135" s="3" t="s">
        <v>755</v>
      </c>
      <c r="J135" s="3">
        <v>14.878888888888889</v>
      </c>
      <c r="K135" s="3" t="s">
        <v>645</v>
      </c>
      <c r="L135" s="3">
        <v>61.099444444444444</v>
      </c>
      <c r="M135" s="3" t="s">
        <v>812</v>
      </c>
      <c r="N135" s="4">
        <v>333</v>
      </c>
      <c r="O135" s="6"/>
      <c r="P135" s="5">
        <v>43130</v>
      </c>
      <c r="Q135" s="3" t="s">
        <v>36</v>
      </c>
      <c r="R135" s="3" t="s">
        <v>41</v>
      </c>
      <c r="S135" s="3" t="s">
        <v>757</v>
      </c>
      <c r="T135" s="4">
        <v>0</v>
      </c>
      <c r="U135" s="4">
        <v>1</v>
      </c>
      <c r="V135" s="4">
        <v>0</v>
      </c>
      <c r="W135" s="3" t="s">
        <v>647</v>
      </c>
      <c r="X135" s="3" t="s">
        <v>43</v>
      </c>
    </row>
    <row r="136" spans="1:24" ht="12.9" customHeight="1" x14ac:dyDescent="0.3">
      <c r="A136" s="3" t="s">
        <v>637</v>
      </c>
      <c r="B136" s="4">
        <v>13723</v>
      </c>
      <c r="C136" s="3" t="s">
        <v>758</v>
      </c>
      <c r="D136" s="3" t="s">
        <v>639</v>
      </c>
      <c r="E136" s="3" t="s">
        <v>640</v>
      </c>
      <c r="F136" s="3" t="s">
        <v>759</v>
      </c>
      <c r="G136" s="3" t="s">
        <v>760</v>
      </c>
      <c r="H136" s="3" t="s">
        <v>761</v>
      </c>
      <c r="I136" s="3" t="s">
        <v>762</v>
      </c>
      <c r="J136" s="3">
        <v>14.549444444444445</v>
      </c>
      <c r="K136" s="3" t="s">
        <v>809</v>
      </c>
      <c r="L136" s="3">
        <v>61.161944444444444</v>
      </c>
      <c r="M136" s="3" t="s">
        <v>839</v>
      </c>
      <c r="N136" s="4">
        <v>111</v>
      </c>
      <c r="O136" s="5">
        <v>43138</v>
      </c>
      <c r="P136" s="5">
        <v>43144</v>
      </c>
      <c r="Q136" s="3" t="s">
        <v>128</v>
      </c>
      <c r="R136" s="3" t="s">
        <v>41</v>
      </c>
      <c r="S136" s="3" t="s">
        <v>763</v>
      </c>
      <c r="T136" s="4">
        <v>1</v>
      </c>
      <c r="U136" s="4">
        <v>0</v>
      </c>
      <c r="V136" s="4">
        <v>0</v>
      </c>
      <c r="W136" s="3" t="s">
        <v>647</v>
      </c>
      <c r="X136" s="3" t="s">
        <v>43</v>
      </c>
    </row>
    <row r="137" spans="1:24" ht="12.9" customHeight="1" x14ac:dyDescent="0.3">
      <c r="A137" s="3" t="s">
        <v>637</v>
      </c>
      <c r="B137" s="4">
        <v>13724</v>
      </c>
      <c r="C137" s="3" t="s">
        <v>729</v>
      </c>
      <c r="D137" s="3" t="s">
        <v>639</v>
      </c>
      <c r="E137" s="3" t="s">
        <v>640</v>
      </c>
      <c r="F137" s="3" t="s">
        <v>730</v>
      </c>
      <c r="G137" s="3" t="s">
        <v>642</v>
      </c>
      <c r="H137" s="3" t="s">
        <v>731</v>
      </c>
      <c r="I137" s="3" t="s">
        <v>683</v>
      </c>
      <c r="J137" s="3">
        <v>14.853333333333333</v>
      </c>
      <c r="K137" s="3" t="s">
        <v>804</v>
      </c>
      <c r="L137" s="3">
        <v>61.202222222222225</v>
      </c>
      <c r="M137" s="3" t="s">
        <v>834</v>
      </c>
      <c r="N137" s="4">
        <v>260</v>
      </c>
      <c r="O137" s="5">
        <v>43127</v>
      </c>
      <c r="P137" s="5">
        <v>43134</v>
      </c>
      <c r="Q137" s="3" t="s">
        <v>131</v>
      </c>
      <c r="R137" s="3" t="s">
        <v>41</v>
      </c>
      <c r="S137" s="3" t="s">
        <v>757</v>
      </c>
      <c r="T137" s="4">
        <v>0</v>
      </c>
      <c r="U137" s="4">
        <v>6</v>
      </c>
      <c r="V137" s="4">
        <v>0</v>
      </c>
      <c r="W137" s="3" t="s">
        <v>647</v>
      </c>
      <c r="X137" s="3" t="s">
        <v>43</v>
      </c>
    </row>
    <row r="138" spans="1:24" ht="12.9" customHeight="1" x14ac:dyDescent="0.3">
      <c r="A138" s="3" t="s">
        <v>637</v>
      </c>
      <c r="B138" s="4">
        <v>13725</v>
      </c>
      <c r="C138" s="3" t="s">
        <v>729</v>
      </c>
      <c r="D138" s="3" t="s">
        <v>639</v>
      </c>
      <c r="E138" s="3" t="s">
        <v>640</v>
      </c>
      <c r="F138" s="3" t="s">
        <v>730</v>
      </c>
      <c r="G138" s="3" t="s">
        <v>642</v>
      </c>
      <c r="H138" s="3" t="s">
        <v>731</v>
      </c>
      <c r="I138" s="3" t="s">
        <v>683</v>
      </c>
      <c r="J138" s="3">
        <v>14.853333333333333</v>
      </c>
      <c r="K138" s="3" t="s">
        <v>804</v>
      </c>
      <c r="L138" s="3">
        <v>61.202222222222225</v>
      </c>
      <c r="M138" s="3" t="s">
        <v>834</v>
      </c>
      <c r="N138" s="4">
        <v>260</v>
      </c>
      <c r="O138" s="5">
        <v>43127</v>
      </c>
      <c r="P138" s="5">
        <v>43134</v>
      </c>
      <c r="Q138" s="3" t="s">
        <v>131</v>
      </c>
      <c r="R138" s="3" t="s">
        <v>41</v>
      </c>
      <c r="S138" s="3" t="s">
        <v>757</v>
      </c>
      <c r="T138" s="4">
        <v>0</v>
      </c>
      <c r="U138" s="4">
        <v>12</v>
      </c>
      <c r="V138" s="4">
        <v>0</v>
      </c>
      <c r="W138" s="3" t="s">
        <v>647</v>
      </c>
      <c r="X138" s="3" t="s">
        <v>43</v>
      </c>
    </row>
    <row r="139" spans="1:24" ht="12.9" customHeight="1" x14ac:dyDescent="0.3">
      <c r="A139" s="3" t="s">
        <v>637</v>
      </c>
      <c r="B139" s="4">
        <v>13726</v>
      </c>
      <c r="C139" s="3" t="s">
        <v>733</v>
      </c>
      <c r="D139" s="3" t="s">
        <v>639</v>
      </c>
      <c r="E139" s="3" t="s">
        <v>640</v>
      </c>
      <c r="F139" s="3" t="s">
        <v>730</v>
      </c>
      <c r="G139" s="3" t="s">
        <v>642</v>
      </c>
      <c r="H139" s="3" t="s">
        <v>731</v>
      </c>
      <c r="I139" s="3" t="s">
        <v>683</v>
      </c>
      <c r="J139" s="3">
        <v>14.853333333333333</v>
      </c>
      <c r="K139" s="3" t="s">
        <v>804</v>
      </c>
      <c r="L139" s="3">
        <v>61.202222222222225</v>
      </c>
      <c r="M139" s="3" t="s">
        <v>834</v>
      </c>
      <c r="N139" s="4">
        <v>260</v>
      </c>
      <c r="O139" s="5">
        <v>43127</v>
      </c>
      <c r="P139" s="5">
        <v>43134</v>
      </c>
      <c r="Q139" s="3" t="s">
        <v>128</v>
      </c>
      <c r="R139" s="3" t="s">
        <v>41</v>
      </c>
      <c r="S139" s="3" t="s">
        <v>757</v>
      </c>
      <c r="T139" s="4">
        <v>0</v>
      </c>
      <c r="U139" s="4">
        <v>10</v>
      </c>
      <c r="V139" s="4">
        <v>0</v>
      </c>
      <c r="W139" s="3" t="s">
        <v>647</v>
      </c>
      <c r="X139" s="3" t="s">
        <v>43</v>
      </c>
    </row>
    <row r="140" spans="1:24" ht="12.9" customHeight="1" x14ac:dyDescent="0.3">
      <c r="A140" s="3" t="s">
        <v>637</v>
      </c>
      <c r="B140" s="4">
        <v>13727</v>
      </c>
      <c r="C140" s="3" t="s">
        <v>734</v>
      </c>
      <c r="D140" s="3" t="s">
        <v>639</v>
      </c>
      <c r="E140" s="3" t="s">
        <v>640</v>
      </c>
      <c r="F140" s="3" t="s">
        <v>730</v>
      </c>
      <c r="G140" s="3" t="s">
        <v>642</v>
      </c>
      <c r="H140" s="3" t="s">
        <v>731</v>
      </c>
      <c r="I140" s="3" t="s">
        <v>683</v>
      </c>
      <c r="J140" s="3">
        <v>14.853333333333333</v>
      </c>
      <c r="K140" s="3" t="s">
        <v>804</v>
      </c>
      <c r="L140" s="3">
        <v>61.202222222222225</v>
      </c>
      <c r="M140" s="3" t="s">
        <v>834</v>
      </c>
      <c r="N140" s="4">
        <v>260</v>
      </c>
      <c r="O140" s="5">
        <v>43127</v>
      </c>
      <c r="P140" s="5">
        <v>43134</v>
      </c>
      <c r="Q140" s="3" t="s">
        <v>136</v>
      </c>
      <c r="R140" s="3" t="s">
        <v>41</v>
      </c>
      <c r="S140" s="3" t="s">
        <v>757</v>
      </c>
      <c r="T140" s="4">
        <v>0</v>
      </c>
      <c r="U140" s="4">
        <v>3</v>
      </c>
      <c r="V140" s="4">
        <v>0</v>
      </c>
      <c r="W140" s="3" t="s">
        <v>647</v>
      </c>
      <c r="X140" s="3" t="s">
        <v>43</v>
      </c>
    </row>
    <row r="141" spans="1:24" ht="12.9" customHeight="1" x14ac:dyDescent="0.3">
      <c r="A141" s="3" t="s">
        <v>637</v>
      </c>
      <c r="B141" s="4">
        <v>13728</v>
      </c>
      <c r="C141" s="3" t="s">
        <v>735</v>
      </c>
      <c r="D141" s="3" t="s">
        <v>639</v>
      </c>
      <c r="E141" s="3" t="s">
        <v>640</v>
      </c>
      <c r="F141" s="3" t="s">
        <v>730</v>
      </c>
      <c r="G141" s="3" t="s">
        <v>642</v>
      </c>
      <c r="H141" s="3" t="s">
        <v>736</v>
      </c>
      <c r="I141" s="3" t="s">
        <v>737</v>
      </c>
      <c r="J141" s="3">
        <v>14.848333333333333</v>
      </c>
      <c r="K141" s="3" t="s">
        <v>805</v>
      </c>
      <c r="L141" s="3">
        <v>61.192500000000003</v>
      </c>
      <c r="M141" s="3" t="s">
        <v>835</v>
      </c>
      <c r="N141" s="4">
        <v>260</v>
      </c>
      <c r="O141" s="5">
        <v>43127</v>
      </c>
      <c r="P141" s="5">
        <v>43134</v>
      </c>
      <c r="Q141" s="3" t="s">
        <v>136</v>
      </c>
      <c r="R141" s="3" t="s">
        <v>41</v>
      </c>
      <c r="S141" s="3" t="s">
        <v>757</v>
      </c>
      <c r="T141" s="4">
        <v>0</v>
      </c>
      <c r="U141" s="4">
        <v>5</v>
      </c>
      <c r="V141" s="4">
        <v>0</v>
      </c>
      <c r="W141" s="3" t="s">
        <v>647</v>
      </c>
      <c r="X141" s="3" t="s">
        <v>43</v>
      </c>
    </row>
    <row r="142" spans="1:24" ht="12.9" customHeight="1" x14ac:dyDescent="0.3">
      <c r="A142" s="3" t="s">
        <v>637</v>
      </c>
      <c r="B142" s="4">
        <v>13729</v>
      </c>
      <c r="C142" s="3" t="s">
        <v>735</v>
      </c>
      <c r="D142" s="3" t="s">
        <v>639</v>
      </c>
      <c r="E142" s="3" t="s">
        <v>640</v>
      </c>
      <c r="F142" s="3" t="s">
        <v>730</v>
      </c>
      <c r="G142" s="3" t="s">
        <v>642</v>
      </c>
      <c r="H142" s="3" t="s">
        <v>736</v>
      </c>
      <c r="I142" s="3" t="s">
        <v>737</v>
      </c>
      <c r="J142" s="3">
        <v>14.848333333333333</v>
      </c>
      <c r="K142" s="3" t="s">
        <v>805</v>
      </c>
      <c r="L142" s="3">
        <v>61.192500000000003</v>
      </c>
      <c r="M142" s="3" t="s">
        <v>835</v>
      </c>
      <c r="N142" s="4">
        <v>260</v>
      </c>
      <c r="O142" s="5">
        <v>43127</v>
      </c>
      <c r="P142" s="5">
        <v>43134</v>
      </c>
      <c r="Q142" s="3" t="s">
        <v>136</v>
      </c>
      <c r="R142" s="3" t="s">
        <v>41</v>
      </c>
      <c r="S142" s="3" t="s">
        <v>757</v>
      </c>
      <c r="T142" s="4">
        <v>1</v>
      </c>
      <c r="U142" s="4">
        <v>3</v>
      </c>
      <c r="V142" s="4">
        <v>0</v>
      </c>
      <c r="W142" s="3" t="s">
        <v>647</v>
      </c>
      <c r="X142" s="3" t="s">
        <v>43</v>
      </c>
    </row>
    <row r="143" spans="1:24" ht="12.9" customHeight="1" x14ac:dyDescent="0.3">
      <c r="A143" s="3" t="s">
        <v>637</v>
      </c>
      <c r="B143" s="4">
        <v>13730</v>
      </c>
      <c r="C143" s="3" t="s">
        <v>708</v>
      </c>
      <c r="D143" s="3" t="s">
        <v>639</v>
      </c>
      <c r="E143" s="3" t="s">
        <v>640</v>
      </c>
      <c r="F143" s="3" t="s">
        <v>649</v>
      </c>
      <c r="G143" s="3" t="s">
        <v>642</v>
      </c>
      <c r="H143" s="3" t="s">
        <v>650</v>
      </c>
      <c r="I143" s="3" t="s">
        <v>651</v>
      </c>
      <c r="J143" s="3">
        <v>14.740833333333333</v>
      </c>
      <c r="K143" s="3" t="s">
        <v>782</v>
      </c>
      <c r="L143" s="3">
        <v>61.101666666666667</v>
      </c>
      <c r="M143" s="3" t="s">
        <v>813</v>
      </c>
      <c r="N143" s="4">
        <v>658</v>
      </c>
      <c r="O143" s="5">
        <v>43133</v>
      </c>
      <c r="P143" s="5">
        <v>43140</v>
      </c>
      <c r="Q143" s="3" t="s">
        <v>131</v>
      </c>
      <c r="R143" s="3" t="s">
        <v>41</v>
      </c>
      <c r="S143" s="3" t="s">
        <v>757</v>
      </c>
      <c r="T143" s="4">
        <v>0</v>
      </c>
      <c r="U143" s="4">
        <v>5</v>
      </c>
      <c r="V143" s="4">
        <v>0</v>
      </c>
      <c r="W143" s="3" t="s">
        <v>647</v>
      </c>
      <c r="X143" s="3" t="s">
        <v>43</v>
      </c>
    </row>
    <row r="144" spans="1:24" ht="12.9" customHeight="1" x14ac:dyDescent="0.3">
      <c r="A144" s="3" t="s">
        <v>637</v>
      </c>
      <c r="B144" s="4">
        <v>13731</v>
      </c>
      <c r="C144" s="3" t="s">
        <v>648</v>
      </c>
      <c r="D144" s="3" t="s">
        <v>639</v>
      </c>
      <c r="E144" s="3" t="s">
        <v>640</v>
      </c>
      <c r="F144" s="3" t="s">
        <v>649</v>
      </c>
      <c r="G144" s="3" t="s">
        <v>642</v>
      </c>
      <c r="H144" s="3" t="s">
        <v>650</v>
      </c>
      <c r="I144" s="3" t="s">
        <v>651</v>
      </c>
      <c r="J144" s="3">
        <v>14.740833333333333</v>
      </c>
      <c r="K144" s="3" t="s">
        <v>782</v>
      </c>
      <c r="L144" s="3">
        <v>61.101666666666667</v>
      </c>
      <c r="M144" s="3" t="s">
        <v>813</v>
      </c>
      <c r="N144" s="4">
        <v>658</v>
      </c>
      <c r="O144" s="5">
        <v>43133</v>
      </c>
      <c r="P144" s="5">
        <v>43140</v>
      </c>
      <c r="Q144" s="3" t="s">
        <v>128</v>
      </c>
      <c r="R144" s="3" t="s">
        <v>41</v>
      </c>
      <c r="S144" s="3" t="s">
        <v>757</v>
      </c>
      <c r="T144" s="4">
        <v>0</v>
      </c>
      <c r="U144" s="4">
        <v>5</v>
      </c>
      <c r="V144" s="4">
        <v>0</v>
      </c>
      <c r="W144" s="3" t="s">
        <v>647</v>
      </c>
      <c r="X144" s="3" t="s">
        <v>43</v>
      </c>
    </row>
    <row r="145" spans="1:24" ht="12.9" customHeight="1" x14ac:dyDescent="0.3">
      <c r="A145" s="3" t="s">
        <v>637</v>
      </c>
      <c r="B145" s="4">
        <v>13732</v>
      </c>
      <c r="C145" s="3" t="s">
        <v>695</v>
      </c>
      <c r="D145" s="3" t="s">
        <v>639</v>
      </c>
      <c r="E145" s="3" t="s">
        <v>640</v>
      </c>
      <c r="F145" s="3" t="s">
        <v>649</v>
      </c>
      <c r="G145" s="3" t="s">
        <v>642</v>
      </c>
      <c r="H145" s="3" t="s">
        <v>650</v>
      </c>
      <c r="I145" s="3" t="s">
        <v>651</v>
      </c>
      <c r="J145" s="3">
        <v>14.740833333333333</v>
      </c>
      <c r="K145" s="3" t="s">
        <v>782</v>
      </c>
      <c r="L145" s="3">
        <v>61.101666666666667</v>
      </c>
      <c r="M145" s="3" t="s">
        <v>813</v>
      </c>
      <c r="N145" s="4">
        <v>658</v>
      </c>
      <c r="O145" s="5">
        <v>43133</v>
      </c>
      <c r="P145" s="5">
        <v>43140</v>
      </c>
      <c r="Q145" s="3" t="s">
        <v>136</v>
      </c>
      <c r="R145" s="3" t="s">
        <v>41</v>
      </c>
      <c r="S145" s="3" t="s">
        <v>757</v>
      </c>
      <c r="T145" s="4">
        <v>0</v>
      </c>
      <c r="U145" s="4">
        <v>2</v>
      </c>
      <c r="V145" s="4">
        <v>0</v>
      </c>
      <c r="W145" s="3" t="s">
        <v>647</v>
      </c>
      <c r="X145" s="3" t="s">
        <v>43</v>
      </c>
    </row>
    <row r="146" spans="1:24" ht="12.9" customHeight="1" x14ac:dyDescent="0.3">
      <c r="A146" s="3" t="s">
        <v>637</v>
      </c>
      <c r="B146" s="4">
        <v>13733</v>
      </c>
      <c r="C146" s="3" t="s">
        <v>696</v>
      </c>
      <c r="D146" s="3" t="s">
        <v>639</v>
      </c>
      <c r="E146" s="3" t="s">
        <v>640</v>
      </c>
      <c r="F146" s="3" t="s">
        <v>649</v>
      </c>
      <c r="G146" s="3" t="s">
        <v>642</v>
      </c>
      <c r="H146" s="3" t="s">
        <v>697</v>
      </c>
      <c r="I146" s="3" t="s">
        <v>698</v>
      </c>
      <c r="J146" s="3">
        <v>14.741388888888888</v>
      </c>
      <c r="K146" s="3" t="s">
        <v>796</v>
      </c>
      <c r="L146" s="3">
        <v>61.101111111111109</v>
      </c>
      <c r="M146" s="3" t="s">
        <v>827</v>
      </c>
      <c r="N146" s="4">
        <v>657</v>
      </c>
      <c r="O146" s="5">
        <v>43133</v>
      </c>
      <c r="P146" s="5">
        <v>43140</v>
      </c>
      <c r="Q146" s="3" t="s">
        <v>136</v>
      </c>
      <c r="R146" s="3" t="s">
        <v>41</v>
      </c>
      <c r="S146" s="3" t="s">
        <v>757</v>
      </c>
      <c r="T146" s="4">
        <v>0</v>
      </c>
      <c r="U146" s="4">
        <v>6</v>
      </c>
      <c r="V146" s="4">
        <v>0</v>
      </c>
      <c r="W146" s="3" t="s">
        <v>647</v>
      </c>
      <c r="X146" s="3" t="s">
        <v>43</v>
      </c>
    </row>
    <row r="147" spans="1:24" ht="12.9" customHeight="1" x14ac:dyDescent="0.3">
      <c r="A147" s="3" t="s">
        <v>637</v>
      </c>
      <c r="B147" s="4">
        <v>13734</v>
      </c>
      <c r="C147" s="3" t="s">
        <v>653</v>
      </c>
      <c r="D147" s="3" t="s">
        <v>639</v>
      </c>
      <c r="E147" s="3" t="s">
        <v>640</v>
      </c>
      <c r="F147" s="3" t="s">
        <v>654</v>
      </c>
      <c r="G147" s="3" t="s">
        <v>642</v>
      </c>
      <c r="H147" s="3" t="s">
        <v>655</v>
      </c>
      <c r="I147" s="3" t="s">
        <v>644</v>
      </c>
      <c r="J147" s="3">
        <v>14.89</v>
      </c>
      <c r="K147" s="3" t="s">
        <v>783</v>
      </c>
      <c r="L147" s="3">
        <v>61.095277777777781</v>
      </c>
      <c r="M147" s="3" t="s">
        <v>814</v>
      </c>
      <c r="N147" s="4">
        <v>357</v>
      </c>
      <c r="O147" s="5">
        <v>43123</v>
      </c>
      <c r="P147" s="5">
        <v>43130</v>
      </c>
      <c r="Q147" s="3" t="s">
        <v>131</v>
      </c>
      <c r="R147" s="3" t="s">
        <v>41</v>
      </c>
      <c r="S147" s="3" t="s">
        <v>757</v>
      </c>
      <c r="T147" s="4">
        <v>0</v>
      </c>
      <c r="U147" s="4">
        <v>13</v>
      </c>
      <c r="V147" s="4">
        <v>0</v>
      </c>
      <c r="W147" s="3" t="s">
        <v>647</v>
      </c>
      <c r="X147" s="3" t="s">
        <v>43</v>
      </c>
    </row>
    <row r="148" spans="1:24" ht="12.9" customHeight="1" x14ac:dyDescent="0.3">
      <c r="A148" s="3" t="s">
        <v>637</v>
      </c>
      <c r="B148" s="4">
        <v>13735</v>
      </c>
      <c r="C148" s="3" t="s">
        <v>656</v>
      </c>
      <c r="D148" s="3" t="s">
        <v>639</v>
      </c>
      <c r="E148" s="3" t="s">
        <v>640</v>
      </c>
      <c r="F148" s="3" t="s">
        <v>654</v>
      </c>
      <c r="G148" s="3" t="s">
        <v>642</v>
      </c>
      <c r="H148" s="3" t="s">
        <v>657</v>
      </c>
      <c r="I148" s="3" t="s">
        <v>644</v>
      </c>
      <c r="J148" s="3">
        <v>14.892777777777777</v>
      </c>
      <c r="K148" s="3" t="s">
        <v>784</v>
      </c>
      <c r="L148" s="3">
        <v>61.101944444444442</v>
      </c>
      <c r="M148" s="3" t="s">
        <v>815</v>
      </c>
      <c r="N148" s="4">
        <v>374</v>
      </c>
      <c r="O148" s="5">
        <v>43123</v>
      </c>
      <c r="P148" s="5">
        <v>43130</v>
      </c>
      <c r="Q148" s="3" t="s">
        <v>136</v>
      </c>
      <c r="R148" s="3" t="s">
        <v>41</v>
      </c>
      <c r="S148" s="3" t="s">
        <v>757</v>
      </c>
      <c r="T148" s="4">
        <v>0</v>
      </c>
      <c r="U148" s="4">
        <v>9</v>
      </c>
      <c r="V148" s="4">
        <v>0</v>
      </c>
      <c r="W148" s="3" t="s">
        <v>647</v>
      </c>
      <c r="X148" s="3" t="s">
        <v>43</v>
      </c>
    </row>
    <row r="149" spans="1:24" ht="12.9" customHeight="1" x14ac:dyDescent="0.3">
      <c r="A149" s="3" t="s">
        <v>637</v>
      </c>
      <c r="B149" s="4">
        <v>13736</v>
      </c>
      <c r="C149" s="3" t="s">
        <v>656</v>
      </c>
      <c r="D149" s="3" t="s">
        <v>639</v>
      </c>
      <c r="E149" s="3" t="s">
        <v>640</v>
      </c>
      <c r="F149" s="3" t="s">
        <v>654</v>
      </c>
      <c r="G149" s="3" t="s">
        <v>642</v>
      </c>
      <c r="H149" s="3" t="s">
        <v>657</v>
      </c>
      <c r="I149" s="3" t="s">
        <v>644</v>
      </c>
      <c r="J149" s="3">
        <v>14.892777777777777</v>
      </c>
      <c r="K149" s="3" t="s">
        <v>784</v>
      </c>
      <c r="L149" s="3">
        <v>61.101944444444442</v>
      </c>
      <c r="M149" s="3" t="s">
        <v>815</v>
      </c>
      <c r="N149" s="4">
        <v>374</v>
      </c>
      <c r="O149" s="5">
        <v>43123</v>
      </c>
      <c r="P149" s="5">
        <v>43130</v>
      </c>
      <c r="Q149" s="3" t="s">
        <v>136</v>
      </c>
      <c r="R149" s="3" t="s">
        <v>41</v>
      </c>
      <c r="S149" s="3" t="s">
        <v>757</v>
      </c>
      <c r="T149" s="4">
        <v>0</v>
      </c>
      <c r="U149" s="4">
        <v>3</v>
      </c>
      <c r="V149" s="4">
        <v>0</v>
      </c>
      <c r="W149" s="3" t="s">
        <v>647</v>
      </c>
      <c r="X149" s="3" t="s">
        <v>43</v>
      </c>
    </row>
    <row r="150" spans="1:24" ht="12.9" customHeight="1" x14ac:dyDescent="0.3">
      <c r="A150" s="3" t="s">
        <v>637</v>
      </c>
      <c r="B150" s="4">
        <v>13737</v>
      </c>
      <c r="C150" s="3" t="s">
        <v>739</v>
      </c>
      <c r="D150" s="3" t="s">
        <v>639</v>
      </c>
      <c r="E150" s="3" t="s">
        <v>640</v>
      </c>
      <c r="F150" s="3" t="s">
        <v>654</v>
      </c>
      <c r="G150" s="3" t="s">
        <v>642</v>
      </c>
      <c r="H150" s="3" t="s">
        <v>740</v>
      </c>
      <c r="I150" s="3" t="s">
        <v>644</v>
      </c>
      <c r="J150" s="3">
        <v>14.8925</v>
      </c>
      <c r="K150" s="3" t="s">
        <v>806</v>
      </c>
      <c r="L150" s="3">
        <v>61.106666666666669</v>
      </c>
      <c r="M150" s="3" t="s">
        <v>836</v>
      </c>
      <c r="N150" s="4">
        <v>389</v>
      </c>
      <c r="O150" s="5">
        <v>43123</v>
      </c>
      <c r="P150" s="5">
        <v>43130</v>
      </c>
      <c r="Q150" s="3" t="s">
        <v>136</v>
      </c>
      <c r="R150" s="3" t="s">
        <v>41</v>
      </c>
      <c r="S150" s="3" t="s">
        <v>757</v>
      </c>
      <c r="T150" s="4">
        <v>0</v>
      </c>
      <c r="U150" s="4">
        <v>3</v>
      </c>
      <c r="V150" s="4">
        <v>0</v>
      </c>
      <c r="W150" s="3" t="s">
        <v>647</v>
      </c>
      <c r="X150" s="3" t="s">
        <v>43</v>
      </c>
    </row>
    <row r="151" spans="1:24" ht="12.9" customHeight="1" x14ac:dyDescent="0.3">
      <c r="A151" s="3" t="s">
        <v>637</v>
      </c>
      <c r="B151" s="4">
        <v>13738</v>
      </c>
      <c r="C151" s="3" t="s">
        <v>739</v>
      </c>
      <c r="D151" s="3" t="s">
        <v>639</v>
      </c>
      <c r="E151" s="3" t="s">
        <v>640</v>
      </c>
      <c r="F151" s="3" t="s">
        <v>654</v>
      </c>
      <c r="G151" s="3" t="s">
        <v>642</v>
      </c>
      <c r="H151" s="3" t="s">
        <v>740</v>
      </c>
      <c r="I151" s="3" t="s">
        <v>644</v>
      </c>
      <c r="J151" s="3">
        <v>14.8925</v>
      </c>
      <c r="K151" s="3" t="s">
        <v>806</v>
      </c>
      <c r="L151" s="3">
        <v>61.106666666666669</v>
      </c>
      <c r="M151" s="3" t="s">
        <v>836</v>
      </c>
      <c r="N151" s="4">
        <v>389</v>
      </c>
      <c r="O151" s="5">
        <v>43123</v>
      </c>
      <c r="P151" s="5">
        <v>43130</v>
      </c>
      <c r="Q151" s="3" t="s">
        <v>136</v>
      </c>
      <c r="R151" s="3" t="s">
        <v>41</v>
      </c>
      <c r="S151" s="3" t="s">
        <v>757</v>
      </c>
      <c r="T151" s="4">
        <v>0</v>
      </c>
      <c r="U151" s="4">
        <v>1</v>
      </c>
      <c r="V151" s="4">
        <v>0</v>
      </c>
      <c r="W151" s="3" t="s">
        <v>647</v>
      </c>
      <c r="X151" s="3" t="s">
        <v>43</v>
      </c>
    </row>
    <row r="152" spans="1:24" ht="12.9" customHeight="1" x14ac:dyDescent="0.3">
      <c r="A152" s="3" t="s">
        <v>637</v>
      </c>
      <c r="B152" s="4">
        <v>13739</v>
      </c>
      <c r="C152" s="3" t="s">
        <v>658</v>
      </c>
      <c r="D152" s="3" t="s">
        <v>639</v>
      </c>
      <c r="E152" s="3" t="s">
        <v>640</v>
      </c>
      <c r="F152" s="3" t="s">
        <v>641</v>
      </c>
      <c r="G152" s="3" t="s">
        <v>642</v>
      </c>
      <c r="H152" s="3" t="s">
        <v>643</v>
      </c>
      <c r="I152" s="3" t="s">
        <v>644</v>
      </c>
      <c r="J152" s="3">
        <v>14.878888888888889</v>
      </c>
      <c r="K152" s="3" t="s">
        <v>645</v>
      </c>
      <c r="L152" s="3">
        <v>61.099444444444444</v>
      </c>
      <c r="M152" s="3" t="s">
        <v>812</v>
      </c>
      <c r="N152" s="4">
        <v>333</v>
      </c>
      <c r="O152" s="5">
        <v>43123</v>
      </c>
      <c r="P152" s="5">
        <v>43130</v>
      </c>
      <c r="Q152" s="3" t="s">
        <v>131</v>
      </c>
      <c r="R152" s="3" t="s">
        <v>41</v>
      </c>
      <c r="S152" s="3" t="s">
        <v>757</v>
      </c>
      <c r="T152" s="4">
        <v>0</v>
      </c>
      <c r="U152" s="4">
        <v>14</v>
      </c>
      <c r="V152" s="4">
        <v>0</v>
      </c>
      <c r="W152" s="3" t="s">
        <v>647</v>
      </c>
      <c r="X152" s="3" t="s">
        <v>43</v>
      </c>
    </row>
    <row r="153" spans="1:24" ht="12.9" customHeight="1" x14ac:dyDescent="0.3">
      <c r="A153" s="3" t="s">
        <v>637</v>
      </c>
      <c r="B153" s="4">
        <v>13740</v>
      </c>
      <c r="C153" s="3" t="s">
        <v>741</v>
      </c>
      <c r="D153" s="3" t="s">
        <v>639</v>
      </c>
      <c r="E153" s="3" t="s">
        <v>640</v>
      </c>
      <c r="F153" s="3" t="s">
        <v>641</v>
      </c>
      <c r="G153" s="3" t="s">
        <v>642</v>
      </c>
      <c r="H153" s="3" t="s">
        <v>643</v>
      </c>
      <c r="I153" s="3" t="s">
        <v>644</v>
      </c>
      <c r="J153" s="3">
        <v>14.878888888888889</v>
      </c>
      <c r="K153" s="3" t="s">
        <v>645</v>
      </c>
      <c r="L153" s="3">
        <v>61.099444444444444</v>
      </c>
      <c r="M153" s="3" t="s">
        <v>812</v>
      </c>
      <c r="N153" s="4">
        <v>333</v>
      </c>
      <c r="O153" s="5">
        <v>43123</v>
      </c>
      <c r="P153" s="5">
        <v>43130</v>
      </c>
      <c r="Q153" s="3" t="s">
        <v>128</v>
      </c>
      <c r="R153" s="3" t="s">
        <v>41</v>
      </c>
      <c r="S153" s="3" t="s">
        <v>757</v>
      </c>
      <c r="T153" s="4">
        <v>0</v>
      </c>
      <c r="U153" s="4">
        <v>7</v>
      </c>
      <c r="V153" s="4">
        <v>0</v>
      </c>
      <c r="W153" s="3" t="s">
        <v>647</v>
      </c>
      <c r="X153" s="3" t="s">
        <v>43</v>
      </c>
    </row>
    <row r="154" spans="1:24" ht="12.9" customHeight="1" x14ac:dyDescent="0.3">
      <c r="A154" s="3" t="s">
        <v>637</v>
      </c>
      <c r="B154" s="4">
        <v>13741</v>
      </c>
      <c r="C154" s="3" t="s">
        <v>638</v>
      </c>
      <c r="D154" s="3" t="s">
        <v>639</v>
      </c>
      <c r="E154" s="3" t="s">
        <v>640</v>
      </c>
      <c r="F154" s="3" t="s">
        <v>641</v>
      </c>
      <c r="G154" s="3" t="s">
        <v>642</v>
      </c>
      <c r="H154" s="3" t="s">
        <v>643</v>
      </c>
      <c r="I154" s="3" t="s">
        <v>644</v>
      </c>
      <c r="J154" s="3">
        <v>14.878888888888889</v>
      </c>
      <c r="K154" s="3" t="s">
        <v>645</v>
      </c>
      <c r="L154" s="3">
        <v>61.099444444444444</v>
      </c>
      <c r="M154" s="3" t="s">
        <v>812</v>
      </c>
      <c r="N154" s="4">
        <v>333</v>
      </c>
      <c r="O154" s="5">
        <v>43123</v>
      </c>
      <c r="P154" s="5">
        <v>43130</v>
      </c>
      <c r="Q154" s="3" t="s">
        <v>136</v>
      </c>
      <c r="R154" s="3" t="s">
        <v>41</v>
      </c>
      <c r="S154" s="3" t="s">
        <v>757</v>
      </c>
      <c r="T154" s="4">
        <v>0</v>
      </c>
      <c r="U154" s="4">
        <v>10</v>
      </c>
      <c r="V154" s="4">
        <v>0</v>
      </c>
      <c r="W154" s="3" t="s">
        <v>647</v>
      </c>
      <c r="X154" s="3" t="s">
        <v>43</v>
      </c>
    </row>
    <row r="155" spans="1:24" ht="12.9" customHeight="1" x14ac:dyDescent="0.3">
      <c r="A155" s="3" t="s">
        <v>637</v>
      </c>
      <c r="B155" s="4">
        <v>13742</v>
      </c>
      <c r="C155" s="3" t="s">
        <v>659</v>
      </c>
      <c r="D155" s="3" t="s">
        <v>639</v>
      </c>
      <c r="E155" s="3" t="s">
        <v>640</v>
      </c>
      <c r="F155" s="3" t="s">
        <v>641</v>
      </c>
      <c r="G155" s="3" t="s">
        <v>642</v>
      </c>
      <c r="H155" s="3" t="s">
        <v>660</v>
      </c>
      <c r="I155" s="3" t="s">
        <v>644</v>
      </c>
      <c r="J155" s="3">
        <v>14.876944444444444</v>
      </c>
      <c r="K155" s="3" t="s">
        <v>785</v>
      </c>
      <c r="L155" s="3">
        <v>61.101388888888891</v>
      </c>
      <c r="M155" s="3" t="s">
        <v>816</v>
      </c>
      <c r="N155" s="4">
        <v>337</v>
      </c>
      <c r="O155" s="5">
        <v>43123</v>
      </c>
      <c r="P155" s="5">
        <v>43130</v>
      </c>
      <c r="Q155" s="3" t="s">
        <v>136</v>
      </c>
      <c r="R155" s="3" t="s">
        <v>41</v>
      </c>
      <c r="S155" s="3" t="s">
        <v>757</v>
      </c>
      <c r="T155" s="4">
        <v>0</v>
      </c>
      <c r="U155" s="4">
        <v>9</v>
      </c>
      <c r="V155" s="4">
        <v>0</v>
      </c>
      <c r="W155" s="3" t="s">
        <v>647</v>
      </c>
      <c r="X155" s="3" t="s">
        <v>43</v>
      </c>
    </row>
    <row r="156" spans="1:24" ht="12.9" customHeight="1" x14ac:dyDescent="0.3">
      <c r="A156" s="3" t="s">
        <v>637</v>
      </c>
      <c r="B156" s="4">
        <v>13743</v>
      </c>
      <c r="C156" s="3" t="s">
        <v>744</v>
      </c>
      <c r="D156" s="3" t="s">
        <v>639</v>
      </c>
      <c r="E156" s="3" t="s">
        <v>640</v>
      </c>
      <c r="F156" s="3" t="s">
        <v>700</v>
      </c>
      <c r="G156" s="3" t="s">
        <v>642</v>
      </c>
      <c r="H156" s="3" t="s">
        <v>701</v>
      </c>
      <c r="I156" s="3" t="s">
        <v>702</v>
      </c>
      <c r="J156" s="3">
        <v>14.795</v>
      </c>
      <c r="K156" s="3" t="s">
        <v>797</v>
      </c>
      <c r="L156" s="3">
        <v>61.194166666666668</v>
      </c>
      <c r="M156" s="3" t="s">
        <v>828</v>
      </c>
      <c r="N156" s="4">
        <v>453</v>
      </c>
      <c r="O156" s="5">
        <v>43126</v>
      </c>
      <c r="P156" s="5">
        <v>43133</v>
      </c>
      <c r="Q156" s="3" t="s">
        <v>131</v>
      </c>
      <c r="R156" s="3" t="s">
        <v>41</v>
      </c>
      <c r="S156" s="3" t="s">
        <v>757</v>
      </c>
      <c r="T156" s="4">
        <v>0</v>
      </c>
      <c r="U156" s="4">
        <v>5</v>
      </c>
      <c r="V156" s="4">
        <v>0</v>
      </c>
      <c r="W156" s="3" t="s">
        <v>647</v>
      </c>
      <c r="X156" s="3" t="s">
        <v>43</v>
      </c>
    </row>
    <row r="157" spans="1:24" ht="12.9" customHeight="1" x14ac:dyDescent="0.3">
      <c r="A157" s="3" t="s">
        <v>637</v>
      </c>
      <c r="B157" s="4">
        <v>13744</v>
      </c>
      <c r="C157" s="3" t="s">
        <v>710</v>
      </c>
      <c r="D157" s="3" t="s">
        <v>639</v>
      </c>
      <c r="E157" s="3" t="s">
        <v>640</v>
      </c>
      <c r="F157" s="3" t="s">
        <v>662</v>
      </c>
      <c r="G157" s="3" t="s">
        <v>642</v>
      </c>
      <c r="H157" s="3" t="s">
        <v>711</v>
      </c>
      <c r="I157" s="3" t="s">
        <v>702</v>
      </c>
      <c r="J157" s="3">
        <v>14.759166666666667</v>
      </c>
      <c r="K157" s="3" t="s">
        <v>799</v>
      </c>
      <c r="L157" s="3">
        <v>61.213333333333331</v>
      </c>
      <c r="M157" s="3" t="s">
        <v>830</v>
      </c>
      <c r="N157" s="4">
        <v>486</v>
      </c>
      <c r="O157" s="5">
        <v>43126</v>
      </c>
      <c r="P157" s="5">
        <v>43133</v>
      </c>
      <c r="Q157" s="3" t="s">
        <v>136</v>
      </c>
      <c r="R157" s="3" t="s">
        <v>41</v>
      </c>
      <c r="S157" s="3" t="s">
        <v>757</v>
      </c>
      <c r="T157" s="4">
        <v>0</v>
      </c>
      <c r="U157" s="4">
        <v>2</v>
      </c>
      <c r="V157" s="4">
        <v>0</v>
      </c>
      <c r="W157" s="3" t="s">
        <v>647</v>
      </c>
      <c r="X157" s="3" t="s">
        <v>43</v>
      </c>
    </row>
    <row r="158" spans="1:24" ht="12.9" customHeight="1" x14ac:dyDescent="0.3">
      <c r="A158" s="3" t="s">
        <v>637</v>
      </c>
      <c r="B158" s="4">
        <v>13745</v>
      </c>
      <c r="C158" s="3" t="s">
        <v>661</v>
      </c>
      <c r="D158" s="3" t="s">
        <v>639</v>
      </c>
      <c r="E158" s="3" t="s">
        <v>640</v>
      </c>
      <c r="F158" s="3" t="s">
        <v>662</v>
      </c>
      <c r="G158" s="3" t="s">
        <v>642</v>
      </c>
      <c r="H158" s="3" t="s">
        <v>663</v>
      </c>
      <c r="I158" s="3" t="s">
        <v>664</v>
      </c>
      <c r="J158" s="3">
        <v>14.761944444444444</v>
      </c>
      <c r="K158" s="3" t="s">
        <v>786</v>
      </c>
      <c r="L158" s="3">
        <v>61.083333333333336</v>
      </c>
      <c r="M158" s="3" t="s">
        <v>817</v>
      </c>
      <c r="N158" s="4">
        <v>497</v>
      </c>
      <c r="O158" s="5">
        <v>43126</v>
      </c>
      <c r="P158" s="5">
        <v>43133</v>
      </c>
      <c r="Q158" s="3" t="s">
        <v>136</v>
      </c>
      <c r="R158" s="3" t="s">
        <v>41</v>
      </c>
      <c r="S158" s="3" t="s">
        <v>757</v>
      </c>
      <c r="T158" s="4">
        <v>0</v>
      </c>
      <c r="U158" s="4">
        <v>2</v>
      </c>
      <c r="V158" s="4">
        <v>0</v>
      </c>
      <c r="W158" s="3" t="s">
        <v>647</v>
      </c>
      <c r="X158" s="3" t="s">
        <v>43</v>
      </c>
    </row>
    <row r="159" spans="1:24" ht="12.9" customHeight="1" x14ac:dyDescent="0.3">
      <c r="A159" s="3" t="s">
        <v>637</v>
      </c>
      <c r="B159" s="4">
        <v>13746</v>
      </c>
      <c r="C159" s="3" t="s">
        <v>665</v>
      </c>
      <c r="D159" s="3" t="s">
        <v>639</v>
      </c>
      <c r="E159" s="3" t="s">
        <v>640</v>
      </c>
      <c r="F159" s="3" t="s">
        <v>666</v>
      </c>
      <c r="G159" s="3" t="s">
        <v>642</v>
      </c>
      <c r="H159" s="3" t="s">
        <v>667</v>
      </c>
      <c r="I159" s="3" t="s">
        <v>644</v>
      </c>
      <c r="J159" s="3">
        <v>14.731666666666667</v>
      </c>
      <c r="K159" s="3" t="s">
        <v>787</v>
      </c>
      <c r="L159" s="3">
        <v>61.205833333333331</v>
      </c>
      <c r="M159" s="3" t="s">
        <v>818</v>
      </c>
      <c r="N159" s="4">
        <v>554</v>
      </c>
      <c r="O159" s="5">
        <v>43122</v>
      </c>
      <c r="P159" s="5">
        <v>43129</v>
      </c>
      <c r="Q159" s="3" t="s">
        <v>131</v>
      </c>
      <c r="R159" s="3" t="s">
        <v>668</v>
      </c>
      <c r="S159" s="3" t="s">
        <v>757</v>
      </c>
      <c r="T159" s="4">
        <v>0</v>
      </c>
      <c r="U159" s="4">
        <v>10</v>
      </c>
      <c r="V159" s="4">
        <v>0</v>
      </c>
      <c r="W159" s="3" t="s">
        <v>647</v>
      </c>
      <c r="X159" s="3" t="s">
        <v>43</v>
      </c>
    </row>
    <row r="160" spans="1:24" ht="12.9" customHeight="1" x14ac:dyDescent="0.3">
      <c r="A160" s="3" t="s">
        <v>637</v>
      </c>
      <c r="B160" s="4">
        <v>13747</v>
      </c>
      <c r="C160" s="3" t="s">
        <v>669</v>
      </c>
      <c r="D160" s="3" t="s">
        <v>639</v>
      </c>
      <c r="E160" s="3" t="s">
        <v>640</v>
      </c>
      <c r="F160" s="3" t="s">
        <v>666</v>
      </c>
      <c r="G160" s="3" t="s">
        <v>642</v>
      </c>
      <c r="H160" s="3" t="s">
        <v>667</v>
      </c>
      <c r="I160" s="3" t="s">
        <v>644</v>
      </c>
      <c r="J160" s="3">
        <v>14.731666666666667</v>
      </c>
      <c r="K160" s="3" t="s">
        <v>787</v>
      </c>
      <c r="L160" s="3">
        <v>61.205833333333331</v>
      </c>
      <c r="M160" s="3" t="s">
        <v>818</v>
      </c>
      <c r="N160" s="4">
        <v>554</v>
      </c>
      <c r="O160" s="5">
        <v>43122</v>
      </c>
      <c r="P160" s="5">
        <v>43129</v>
      </c>
      <c r="Q160" s="3" t="s">
        <v>128</v>
      </c>
      <c r="R160" s="3" t="s">
        <v>668</v>
      </c>
      <c r="S160" s="3" t="s">
        <v>757</v>
      </c>
      <c r="T160" s="4">
        <v>0</v>
      </c>
      <c r="U160" s="4">
        <v>5</v>
      </c>
      <c r="V160" s="4">
        <v>0</v>
      </c>
      <c r="W160" s="3" t="s">
        <v>647</v>
      </c>
      <c r="X160" s="3" t="s">
        <v>43</v>
      </c>
    </row>
    <row r="161" spans="1:24" ht="12.9" customHeight="1" x14ac:dyDescent="0.3">
      <c r="A161" s="3" t="s">
        <v>637</v>
      </c>
      <c r="B161" s="4">
        <v>13748</v>
      </c>
      <c r="C161" s="3" t="s">
        <v>669</v>
      </c>
      <c r="D161" s="3" t="s">
        <v>639</v>
      </c>
      <c r="E161" s="3" t="s">
        <v>640</v>
      </c>
      <c r="F161" s="3" t="s">
        <v>666</v>
      </c>
      <c r="G161" s="3" t="s">
        <v>642</v>
      </c>
      <c r="H161" s="3" t="s">
        <v>667</v>
      </c>
      <c r="I161" s="3" t="s">
        <v>644</v>
      </c>
      <c r="J161" s="3">
        <v>14.731666666666667</v>
      </c>
      <c r="K161" s="3" t="s">
        <v>787</v>
      </c>
      <c r="L161" s="3">
        <v>61.205833333333331</v>
      </c>
      <c r="M161" s="3" t="s">
        <v>818</v>
      </c>
      <c r="N161" s="4">
        <v>554</v>
      </c>
      <c r="O161" s="5">
        <v>43122</v>
      </c>
      <c r="P161" s="5">
        <v>43129</v>
      </c>
      <c r="Q161" s="3" t="s">
        <v>128</v>
      </c>
      <c r="R161" s="3" t="s">
        <v>668</v>
      </c>
      <c r="S161" s="3" t="s">
        <v>757</v>
      </c>
      <c r="T161" s="4">
        <v>0</v>
      </c>
      <c r="U161" s="4">
        <v>7</v>
      </c>
      <c r="V161" s="4">
        <v>0</v>
      </c>
      <c r="W161" s="3" t="s">
        <v>647</v>
      </c>
      <c r="X161" s="3" t="s">
        <v>43</v>
      </c>
    </row>
    <row r="162" spans="1:24" ht="12.9" customHeight="1" x14ac:dyDescent="0.3">
      <c r="A162" s="3" t="s">
        <v>637</v>
      </c>
      <c r="B162" s="4">
        <v>13749</v>
      </c>
      <c r="C162" s="3" t="s">
        <v>746</v>
      </c>
      <c r="D162" s="3" t="s">
        <v>639</v>
      </c>
      <c r="E162" s="3" t="s">
        <v>640</v>
      </c>
      <c r="F162" s="3" t="s">
        <v>666</v>
      </c>
      <c r="G162" s="3" t="s">
        <v>642</v>
      </c>
      <c r="H162" s="3" t="s">
        <v>667</v>
      </c>
      <c r="I162" s="3" t="s">
        <v>644</v>
      </c>
      <c r="J162" s="3">
        <v>14.731666666666667</v>
      </c>
      <c r="K162" s="3" t="s">
        <v>787</v>
      </c>
      <c r="L162" s="3">
        <v>61.205833333333331</v>
      </c>
      <c r="M162" s="3" t="s">
        <v>818</v>
      </c>
      <c r="N162" s="4">
        <v>554</v>
      </c>
      <c r="O162" s="5">
        <v>43122</v>
      </c>
      <c r="P162" s="5">
        <v>43129</v>
      </c>
      <c r="Q162" s="3" t="s">
        <v>136</v>
      </c>
      <c r="R162" s="3" t="s">
        <v>41</v>
      </c>
      <c r="S162" s="3" t="s">
        <v>757</v>
      </c>
      <c r="T162" s="4">
        <v>0</v>
      </c>
      <c r="U162" s="4">
        <v>9</v>
      </c>
      <c r="V162" s="4">
        <v>0</v>
      </c>
      <c r="W162" s="3" t="s">
        <v>647</v>
      </c>
      <c r="X162" s="3" t="s">
        <v>43</v>
      </c>
    </row>
    <row r="163" spans="1:24" ht="12.9" customHeight="1" x14ac:dyDescent="0.3">
      <c r="A163" s="3" t="s">
        <v>637</v>
      </c>
      <c r="B163" s="4">
        <v>13750</v>
      </c>
      <c r="C163" s="3" t="s">
        <v>670</v>
      </c>
      <c r="D163" s="3" t="s">
        <v>639</v>
      </c>
      <c r="E163" s="3" t="s">
        <v>640</v>
      </c>
      <c r="F163" s="3" t="s">
        <v>666</v>
      </c>
      <c r="G163" s="3" t="s">
        <v>642</v>
      </c>
      <c r="H163" s="3" t="s">
        <v>671</v>
      </c>
      <c r="I163" s="3" t="s">
        <v>644</v>
      </c>
      <c r="J163" s="3">
        <v>14.7425</v>
      </c>
      <c r="K163" s="3" t="s">
        <v>788</v>
      </c>
      <c r="L163" s="3">
        <v>61.215555555555554</v>
      </c>
      <c r="M163" s="3" t="s">
        <v>819</v>
      </c>
      <c r="N163" s="4">
        <v>599</v>
      </c>
      <c r="O163" s="5">
        <v>43122</v>
      </c>
      <c r="P163" s="5">
        <v>43129</v>
      </c>
      <c r="Q163" s="3" t="s">
        <v>136</v>
      </c>
      <c r="R163" s="3" t="s">
        <v>668</v>
      </c>
      <c r="S163" s="3" t="s">
        <v>757</v>
      </c>
      <c r="T163" s="4">
        <v>0</v>
      </c>
      <c r="U163" s="4">
        <v>2</v>
      </c>
      <c r="V163" s="4">
        <v>0</v>
      </c>
      <c r="W163" s="3" t="s">
        <v>647</v>
      </c>
      <c r="X163" s="3" t="s">
        <v>43</v>
      </c>
    </row>
    <row r="164" spans="1:24" ht="12.9" customHeight="1" x14ac:dyDescent="0.3">
      <c r="A164" s="3" t="s">
        <v>637</v>
      </c>
      <c r="B164" s="4">
        <v>13751</v>
      </c>
      <c r="C164" s="3" t="s">
        <v>670</v>
      </c>
      <c r="D164" s="3" t="s">
        <v>639</v>
      </c>
      <c r="E164" s="3" t="s">
        <v>640</v>
      </c>
      <c r="F164" s="3" t="s">
        <v>666</v>
      </c>
      <c r="G164" s="3" t="s">
        <v>642</v>
      </c>
      <c r="H164" s="3" t="s">
        <v>671</v>
      </c>
      <c r="I164" s="3" t="s">
        <v>644</v>
      </c>
      <c r="J164" s="3">
        <v>14.7425</v>
      </c>
      <c r="K164" s="3" t="s">
        <v>788</v>
      </c>
      <c r="L164" s="3">
        <v>61.215555555555554</v>
      </c>
      <c r="M164" s="3" t="s">
        <v>819</v>
      </c>
      <c r="N164" s="4">
        <v>599</v>
      </c>
      <c r="O164" s="5">
        <v>43122</v>
      </c>
      <c r="P164" s="5">
        <v>43129</v>
      </c>
      <c r="Q164" s="3" t="s">
        <v>136</v>
      </c>
      <c r="R164" s="3" t="s">
        <v>668</v>
      </c>
      <c r="S164" s="3" t="s">
        <v>757</v>
      </c>
      <c r="T164" s="4">
        <v>0</v>
      </c>
      <c r="U164" s="4">
        <v>1</v>
      </c>
      <c r="V164" s="4">
        <v>0</v>
      </c>
      <c r="W164" s="3" t="s">
        <v>647</v>
      </c>
      <c r="X164" s="3" t="s">
        <v>43</v>
      </c>
    </row>
    <row r="165" spans="1:24" ht="12.9" customHeight="1" x14ac:dyDescent="0.3">
      <c r="A165" s="3" t="s">
        <v>637</v>
      </c>
      <c r="B165" s="4">
        <v>13752</v>
      </c>
      <c r="C165" s="3" t="s">
        <v>704</v>
      </c>
      <c r="D165" s="3" t="s">
        <v>639</v>
      </c>
      <c r="E165" s="3" t="s">
        <v>640</v>
      </c>
      <c r="F165" s="3" t="s">
        <v>673</v>
      </c>
      <c r="G165" s="3" t="s">
        <v>642</v>
      </c>
      <c r="H165" s="3" t="s">
        <v>674</v>
      </c>
      <c r="I165" s="3" t="s">
        <v>664</v>
      </c>
      <c r="J165" s="3">
        <v>14.820833333333333</v>
      </c>
      <c r="K165" s="3" t="s">
        <v>789</v>
      </c>
      <c r="L165" s="3">
        <v>61.136666666666663</v>
      </c>
      <c r="M165" s="3" t="s">
        <v>820</v>
      </c>
      <c r="N165" s="4">
        <v>524</v>
      </c>
      <c r="O165" s="5">
        <v>43124</v>
      </c>
      <c r="P165" s="5">
        <v>43131</v>
      </c>
      <c r="Q165" s="3" t="s">
        <v>128</v>
      </c>
      <c r="R165" s="3" t="s">
        <v>41</v>
      </c>
      <c r="S165" s="3" t="s">
        <v>757</v>
      </c>
      <c r="T165" s="4">
        <v>0</v>
      </c>
      <c r="U165" s="4">
        <v>3</v>
      </c>
      <c r="V165" s="4">
        <v>0</v>
      </c>
      <c r="W165" s="3" t="s">
        <v>647</v>
      </c>
      <c r="X165" s="3" t="s">
        <v>43</v>
      </c>
    </row>
    <row r="166" spans="1:24" ht="12.9" customHeight="1" x14ac:dyDescent="0.3">
      <c r="A166" s="3" t="s">
        <v>637</v>
      </c>
      <c r="B166" s="4">
        <v>13753</v>
      </c>
      <c r="C166" s="3" t="s">
        <v>672</v>
      </c>
      <c r="D166" s="3" t="s">
        <v>639</v>
      </c>
      <c r="E166" s="3" t="s">
        <v>640</v>
      </c>
      <c r="F166" s="3" t="s">
        <v>673</v>
      </c>
      <c r="G166" s="3" t="s">
        <v>642</v>
      </c>
      <c r="H166" s="3" t="s">
        <v>674</v>
      </c>
      <c r="I166" s="3" t="s">
        <v>664</v>
      </c>
      <c r="J166" s="3">
        <v>14.820833333333333</v>
      </c>
      <c r="K166" s="3" t="s">
        <v>789</v>
      </c>
      <c r="L166" s="3">
        <v>61.136666666666663</v>
      </c>
      <c r="M166" s="3" t="s">
        <v>820</v>
      </c>
      <c r="N166" s="4">
        <v>524</v>
      </c>
      <c r="O166" s="5">
        <v>43124</v>
      </c>
      <c r="P166" s="5">
        <v>43131</v>
      </c>
      <c r="Q166" s="3" t="s">
        <v>136</v>
      </c>
      <c r="R166" s="3" t="s">
        <v>41</v>
      </c>
      <c r="S166" s="3" t="s">
        <v>757</v>
      </c>
      <c r="T166" s="4">
        <v>0</v>
      </c>
      <c r="U166" s="4">
        <v>9</v>
      </c>
      <c r="V166" s="4">
        <v>0</v>
      </c>
      <c r="W166" s="3" t="s">
        <v>647</v>
      </c>
      <c r="X166" s="3" t="s">
        <v>43</v>
      </c>
    </row>
    <row r="167" spans="1:24" ht="12.9" customHeight="1" x14ac:dyDescent="0.3">
      <c r="A167" s="3" t="s">
        <v>637</v>
      </c>
      <c r="B167" s="4">
        <v>13754</v>
      </c>
      <c r="C167" s="3" t="s">
        <v>675</v>
      </c>
      <c r="D167" s="3" t="s">
        <v>639</v>
      </c>
      <c r="E167" s="3" t="s">
        <v>640</v>
      </c>
      <c r="F167" s="3" t="s">
        <v>673</v>
      </c>
      <c r="G167" s="3" t="s">
        <v>642</v>
      </c>
      <c r="H167" s="3" t="s">
        <v>676</v>
      </c>
      <c r="I167" s="3" t="s">
        <v>664</v>
      </c>
      <c r="J167" s="3">
        <v>14.829444444444444</v>
      </c>
      <c r="K167" s="3" t="s">
        <v>790</v>
      </c>
      <c r="L167" s="3">
        <v>61.136944444444445</v>
      </c>
      <c r="M167" s="3" t="s">
        <v>821</v>
      </c>
      <c r="N167" s="4">
        <v>533</v>
      </c>
      <c r="O167" s="5">
        <v>43124</v>
      </c>
      <c r="P167" s="5">
        <v>43131</v>
      </c>
      <c r="Q167" s="3" t="s">
        <v>136</v>
      </c>
      <c r="R167" s="3" t="s">
        <v>41</v>
      </c>
      <c r="S167" s="3" t="s">
        <v>757</v>
      </c>
      <c r="T167" s="4">
        <v>0</v>
      </c>
      <c r="U167" s="4">
        <v>2</v>
      </c>
      <c r="V167" s="4">
        <v>0</v>
      </c>
      <c r="W167" s="3" t="s">
        <v>647</v>
      </c>
      <c r="X167" s="3" t="s">
        <v>43</v>
      </c>
    </row>
    <row r="168" spans="1:24" ht="12.9" customHeight="1" x14ac:dyDescent="0.3">
      <c r="A168" s="3" t="s">
        <v>637</v>
      </c>
      <c r="B168" s="4">
        <v>13755</v>
      </c>
      <c r="C168" s="3" t="s">
        <v>677</v>
      </c>
      <c r="D168" s="3" t="s">
        <v>639</v>
      </c>
      <c r="E168" s="3" t="s">
        <v>640</v>
      </c>
      <c r="F168" s="3" t="s">
        <v>673</v>
      </c>
      <c r="G168" s="3" t="s">
        <v>642</v>
      </c>
      <c r="H168" s="3" t="s">
        <v>678</v>
      </c>
      <c r="I168" s="3" t="s">
        <v>679</v>
      </c>
      <c r="J168" s="3">
        <v>14.695</v>
      </c>
      <c r="K168" s="3" t="s">
        <v>791</v>
      </c>
      <c r="L168" s="3">
        <v>61.130277777777778</v>
      </c>
      <c r="M168" s="3" t="s">
        <v>822</v>
      </c>
      <c r="N168" s="4">
        <v>529</v>
      </c>
      <c r="O168" s="5">
        <v>43124</v>
      </c>
      <c r="P168" s="5">
        <v>43131</v>
      </c>
      <c r="Q168" s="3" t="s">
        <v>136</v>
      </c>
      <c r="R168" s="3" t="s">
        <v>41</v>
      </c>
      <c r="S168" s="3" t="s">
        <v>757</v>
      </c>
      <c r="T168" s="4">
        <v>0</v>
      </c>
      <c r="U168" s="4">
        <v>12</v>
      </c>
      <c r="V168" s="4">
        <v>0</v>
      </c>
      <c r="W168" s="3" t="s">
        <v>647</v>
      </c>
      <c r="X168" s="3" t="s">
        <v>43</v>
      </c>
    </row>
    <row r="169" spans="1:24" ht="12.9" customHeight="1" x14ac:dyDescent="0.3">
      <c r="A169" s="3" t="s">
        <v>637</v>
      </c>
      <c r="B169" s="4">
        <v>13756</v>
      </c>
      <c r="C169" s="3" t="s">
        <v>680</v>
      </c>
      <c r="D169" s="3" t="s">
        <v>639</v>
      </c>
      <c r="E169" s="3" t="s">
        <v>640</v>
      </c>
      <c r="F169" s="3" t="s">
        <v>681</v>
      </c>
      <c r="G169" s="3" t="s">
        <v>642</v>
      </c>
      <c r="H169" s="3" t="s">
        <v>682</v>
      </c>
      <c r="I169" s="3" t="s">
        <v>683</v>
      </c>
      <c r="J169" s="3">
        <v>14.791388888888889</v>
      </c>
      <c r="K169" s="3" t="s">
        <v>792</v>
      </c>
      <c r="L169" s="3">
        <v>61.163611111111109</v>
      </c>
      <c r="M169" s="3" t="s">
        <v>823</v>
      </c>
      <c r="N169" s="4">
        <v>585</v>
      </c>
      <c r="O169" s="5">
        <v>43125</v>
      </c>
      <c r="P169" s="5">
        <v>43132</v>
      </c>
      <c r="Q169" s="3" t="s">
        <v>131</v>
      </c>
      <c r="R169" s="3" t="s">
        <v>41</v>
      </c>
      <c r="S169" s="3" t="s">
        <v>757</v>
      </c>
      <c r="T169" s="4">
        <v>0</v>
      </c>
      <c r="U169" s="4">
        <v>10</v>
      </c>
      <c r="V169" s="4">
        <v>0</v>
      </c>
      <c r="W169" s="3" t="s">
        <v>647</v>
      </c>
      <c r="X169" s="3" t="s">
        <v>43</v>
      </c>
    </row>
    <row r="170" spans="1:24" ht="12.9" customHeight="1" x14ac:dyDescent="0.3">
      <c r="A170" s="3" t="s">
        <v>637</v>
      </c>
      <c r="B170" s="4">
        <v>13757</v>
      </c>
      <c r="C170" s="3" t="s">
        <v>705</v>
      </c>
      <c r="D170" s="3" t="s">
        <v>639</v>
      </c>
      <c r="E170" s="3" t="s">
        <v>640</v>
      </c>
      <c r="F170" s="3" t="s">
        <v>681</v>
      </c>
      <c r="G170" s="3" t="s">
        <v>642</v>
      </c>
      <c r="H170" s="3" t="s">
        <v>682</v>
      </c>
      <c r="I170" s="3" t="s">
        <v>683</v>
      </c>
      <c r="J170" s="3">
        <v>14.791388888888889</v>
      </c>
      <c r="K170" s="3" t="s">
        <v>792</v>
      </c>
      <c r="L170" s="3">
        <v>61.163611111111109</v>
      </c>
      <c r="M170" s="3" t="s">
        <v>823</v>
      </c>
      <c r="N170" s="4">
        <v>585</v>
      </c>
      <c r="O170" s="5">
        <v>43125</v>
      </c>
      <c r="P170" s="5">
        <v>43132</v>
      </c>
      <c r="Q170" s="3" t="s">
        <v>128</v>
      </c>
      <c r="R170" s="3" t="s">
        <v>41</v>
      </c>
      <c r="S170" s="3" t="s">
        <v>757</v>
      </c>
      <c r="T170" s="4">
        <v>0</v>
      </c>
      <c r="U170" s="4">
        <v>3</v>
      </c>
      <c r="V170" s="4">
        <v>0</v>
      </c>
      <c r="W170" s="3" t="s">
        <v>647</v>
      </c>
      <c r="X170" s="3" t="s">
        <v>43</v>
      </c>
    </row>
    <row r="171" spans="1:24" ht="12.9" customHeight="1" x14ac:dyDescent="0.3">
      <c r="A171" s="3" t="s">
        <v>637</v>
      </c>
      <c r="B171" s="4">
        <v>13758</v>
      </c>
      <c r="C171" s="3" t="s">
        <v>747</v>
      </c>
      <c r="D171" s="3" t="s">
        <v>639</v>
      </c>
      <c r="E171" s="3" t="s">
        <v>640</v>
      </c>
      <c r="F171" s="3" t="s">
        <v>681</v>
      </c>
      <c r="G171" s="3" t="s">
        <v>642</v>
      </c>
      <c r="H171" s="3" t="s">
        <v>682</v>
      </c>
      <c r="I171" s="3" t="s">
        <v>683</v>
      </c>
      <c r="J171" s="3">
        <v>14.791388888888889</v>
      </c>
      <c r="K171" s="3" t="s">
        <v>792</v>
      </c>
      <c r="L171" s="3">
        <v>61.163611111111109</v>
      </c>
      <c r="M171" s="3" t="s">
        <v>823</v>
      </c>
      <c r="N171" s="4">
        <v>585</v>
      </c>
      <c r="O171" s="5">
        <v>43125</v>
      </c>
      <c r="P171" s="5">
        <v>43132</v>
      </c>
      <c r="Q171" s="3" t="s">
        <v>136</v>
      </c>
      <c r="R171" s="3" t="s">
        <v>41</v>
      </c>
      <c r="S171" s="3" t="s">
        <v>757</v>
      </c>
      <c r="T171" s="4">
        <v>0</v>
      </c>
      <c r="U171" s="4">
        <v>5</v>
      </c>
      <c r="V171" s="4">
        <v>0</v>
      </c>
      <c r="W171" s="3" t="s">
        <v>647</v>
      </c>
      <c r="X171" s="3" t="s">
        <v>43</v>
      </c>
    </row>
    <row r="172" spans="1:24" ht="12.9" customHeight="1" x14ac:dyDescent="0.3">
      <c r="A172" s="3" t="s">
        <v>637</v>
      </c>
      <c r="B172" s="4">
        <v>13759</v>
      </c>
      <c r="C172" s="3" t="s">
        <v>747</v>
      </c>
      <c r="D172" s="3" t="s">
        <v>639</v>
      </c>
      <c r="E172" s="3" t="s">
        <v>640</v>
      </c>
      <c r="F172" s="3" t="s">
        <v>681</v>
      </c>
      <c r="G172" s="3" t="s">
        <v>642</v>
      </c>
      <c r="H172" s="3" t="s">
        <v>682</v>
      </c>
      <c r="I172" s="3" t="s">
        <v>683</v>
      </c>
      <c r="J172" s="3">
        <v>14.791388888888889</v>
      </c>
      <c r="K172" s="3" t="s">
        <v>792</v>
      </c>
      <c r="L172" s="3">
        <v>61.163611111111109</v>
      </c>
      <c r="M172" s="3" t="s">
        <v>823</v>
      </c>
      <c r="N172" s="4">
        <v>585</v>
      </c>
      <c r="O172" s="5">
        <v>43125</v>
      </c>
      <c r="P172" s="5">
        <v>43132</v>
      </c>
      <c r="Q172" s="3" t="s">
        <v>136</v>
      </c>
      <c r="R172" s="3" t="s">
        <v>41</v>
      </c>
      <c r="S172" s="3" t="s">
        <v>757</v>
      </c>
      <c r="T172" s="4">
        <v>0</v>
      </c>
      <c r="U172" s="4">
        <v>11</v>
      </c>
      <c r="V172" s="4">
        <v>0</v>
      </c>
      <c r="W172" s="3" t="s">
        <v>647</v>
      </c>
      <c r="X172" s="3" t="s">
        <v>43</v>
      </c>
    </row>
    <row r="173" spans="1:24" ht="12.9" customHeight="1" x14ac:dyDescent="0.3">
      <c r="A173" s="3" t="s">
        <v>637</v>
      </c>
      <c r="B173" s="4">
        <v>13760</v>
      </c>
      <c r="C173" s="3" t="s">
        <v>684</v>
      </c>
      <c r="D173" s="3" t="s">
        <v>639</v>
      </c>
      <c r="E173" s="3" t="s">
        <v>640</v>
      </c>
      <c r="F173" s="3" t="s">
        <v>681</v>
      </c>
      <c r="G173" s="3" t="s">
        <v>642</v>
      </c>
      <c r="H173" s="3" t="s">
        <v>685</v>
      </c>
      <c r="I173" s="3" t="s">
        <v>686</v>
      </c>
      <c r="J173" s="3">
        <v>14.819722222222222</v>
      </c>
      <c r="K173" s="3" t="s">
        <v>793</v>
      </c>
      <c r="L173" s="3">
        <v>61.215000000000003</v>
      </c>
      <c r="M173" s="3" t="s">
        <v>824</v>
      </c>
      <c r="N173" s="4">
        <v>609</v>
      </c>
      <c r="O173" s="5">
        <v>43125</v>
      </c>
      <c r="P173" s="5">
        <v>43132</v>
      </c>
      <c r="Q173" s="3" t="s">
        <v>136</v>
      </c>
      <c r="R173" s="3" t="s">
        <v>41</v>
      </c>
      <c r="S173" s="3" t="s">
        <v>757</v>
      </c>
      <c r="T173" s="4">
        <v>0</v>
      </c>
      <c r="U173" s="4">
        <v>1</v>
      </c>
      <c r="V173" s="4">
        <v>0</v>
      </c>
      <c r="W173" s="3" t="s">
        <v>647</v>
      </c>
      <c r="X173" s="3" t="s">
        <v>43</v>
      </c>
    </row>
    <row r="174" spans="1:24" ht="12.9" customHeight="1" x14ac:dyDescent="0.3">
      <c r="A174" s="3" t="s">
        <v>637</v>
      </c>
      <c r="B174" s="4">
        <v>13761</v>
      </c>
      <c r="C174" s="3" t="s">
        <v>677</v>
      </c>
      <c r="D174" s="3" t="s">
        <v>639</v>
      </c>
      <c r="E174" s="3" t="s">
        <v>640</v>
      </c>
      <c r="F174" s="3" t="s">
        <v>673</v>
      </c>
      <c r="G174" s="3" t="s">
        <v>642</v>
      </c>
      <c r="H174" s="3" t="s">
        <v>678</v>
      </c>
      <c r="I174" s="3" t="s">
        <v>679</v>
      </c>
      <c r="J174" s="3">
        <v>14.695</v>
      </c>
      <c r="K174" s="3" t="s">
        <v>791</v>
      </c>
      <c r="L174" s="3">
        <v>61.130277777777778</v>
      </c>
      <c r="M174" s="3" t="s">
        <v>822</v>
      </c>
      <c r="N174" s="4">
        <v>529</v>
      </c>
      <c r="O174" s="5">
        <v>43124</v>
      </c>
      <c r="P174" s="5">
        <v>43131</v>
      </c>
      <c r="Q174" s="3" t="s">
        <v>136</v>
      </c>
      <c r="R174" s="3" t="s">
        <v>41</v>
      </c>
      <c r="S174" s="3" t="s">
        <v>764</v>
      </c>
      <c r="T174" s="4">
        <v>1</v>
      </c>
      <c r="U174" s="4">
        <v>0</v>
      </c>
      <c r="V174" s="4">
        <v>0</v>
      </c>
      <c r="W174" s="3" t="s">
        <v>647</v>
      </c>
      <c r="X174" s="3" t="s">
        <v>43</v>
      </c>
    </row>
    <row r="175" spans="1:24" ht="12.9" customHeight="1" x14ac:dyDescent="0.3">
      <c r="A175" s="3" t="s">
        <v>637</v>
      </c>
      <c r="B175" s="4">
        <v>13762</v>
      </c>
      <c r="C175" s="3" t="s">
        <v>734</v>
      </c>
      <c r="D175" s="3" t="s">
        <v>639</v>
      </c>
      <c r="E175" s="3" t="s">
        <v>640</v>
      </c>
      <c r="F175" s="3" t="s">
        <v>730</v>
      </c>
      <c r="G175" s="3" t="s">
        <v>642</v>
      </c>
      <c r="H175" s="3" t="s">
        <v>731</v>
      </c>
      <c r="I175" s="3" t="s">
        <v>683</v>
      </c>
      <c r="J175" s="3">
        <v>14.853333333333333</v>
      </c>
      <c r="K175" s="3" t="s">
        <v>804</v>
      </c>
      <c r="L175" s="3">
        <v>61.202222222222225</v>
      </c>
      <c r="M175" s="3" t="s">
        <v>834</v>
      </c>
      <c r="N175" s="4">
        <v>260</v>
      </c>
      <c r="O175" s="5">
        <v>43127</v>
      </c>
      <c r="P175" s="5">
        <v>43134</v>
      </c>
      <c r="Q175" s="3" t="s">
        <v>136</v>
      </c>
      <c r="R175" s="3" t="s">
        <v>41</v>
      </c>
      <c r="S175" s="3" t="s">
        <v>765</v>
      </c>
      <c r="T175" s="4">
        <v>0</v>
      </c>
      <c r="U175" s="4">
        <v>1</v>
      </c>
      <c r="V175" s="4">
        <v>0</v>
      </c>
      <c r="W175" s="3" t="s">
        <v>647</v>
      </c>
      <c r="X175" s="3" t="s">
        <v>43</v>
      </c>
    </row>
    <row r="176" spans="1:24" ht="12.9" customHeight="1" x14ac:dyDescent="0.3">
      <c r="A176" s="3" t="s">
        <v>637</v>
      </c>
      <c r="B176" s="4">
        <v>13763</v>
      </c>
      <c r="C176" s="3" t="s">
        <v>735</v>
      </c>
      <c r="D176" s="3" t="s">
        <v>639</v>
      </c>
      <c r="E176" s="3" t="s">
        <v>640</v>
      </c>
      <c r="F176" s="3" t="s">
        <v>730</v>
      </c>
      <c r="G176" s="3" t="s">
        <v>642</v>
      </c>
      <c r="H176" s="3" t="s">
        <v>736</v>
      </c>
      <c r="I176" s="3" t="s">
        <v>737</v>
      </c>
      <c r="J176" s="3">
        <v>14.848333333333333</v>
      </c>
      <c r="K176" s="3" t="s">
        <v>805</v>
      </c>
      <c r="L176" s="3">
        <v>61.192500000000003</v>
      </c>
      <c r="M176" s="3" t="s">
        <v>835</v>
      </c>
      <c r="N176" s="4">
        <v>260</v>
      </c>
      <c r="O176" s="5">
        <v>43127</v>
      </c>
      <c r="P176" s="5">
        <v>43134</v>
      </c>
      <c r="Q176" s="3" t="s">
        <v>136</v>
      </c>
      <c r="R176" s="3" t="s">
        <v>41</v>
      </c>
      <c r="S176" s="3" t="s">
        <v>765</v>
      </c>
      <c r="T176" s="4">
        <v>0</v>
      </c>
      <c r="U176" s="4">
        <v>2</v>
      </c>
      <c r="V176" s="4">
        <v>0</v>
      </c>
      <c r="W176" s="3" t="s">
        <v>647</v>
      </c>
      <c r="X176" s="3" t="s">
        <v>43</v>
      </c>
    </row>
    <row r="177" spans="1:24" ht="12.9" customHeight="1" x14ac:dyDescent="0.3">
      <c r="A177" s="3" t="s">
        <v>637</v>
      </c>
      <c r="B177" s="4">
        <v>13764</v>
      </c>
      <c r="C177" s="3" t="s">
        <v>735</v>
      </c>
      <c r="D177" s="3" t="s">
        <v>639</v>
      </c>
      <c r="E177" s="3" t="s">
        <v>640</v>
      </c>
      <c r="F177" s="3" t="s">
        <v>730</v>
      </c>
      <c r="G177" s="3" t="s">
        <v>642</v>
      </c>
      <c r="H177" s="3" t="s">
        <v>736</v>
      </c>
      <c r="I177" s="3" t="s">
        <v>737</v>
      </c>
      <c r="J177" s="3">
        <v>14.848333333333333</v>
      </c>
      <c r="K177" s="3" t="s">
        <v>805</v>
      </c>
      <c r="L177" s="3">
        <v>61.192500000000003</v>
      </c>
      <c r="M177" s="3" t="s">
        <v>835</v>
      </c>
      <c r="N177" s="4">
        <v>260</v>
      </c>
      <c r="O177" s="5">
        <v>43127</v>
      </c>
      <c r="P177" s="5">
        <v>43134</v>
      </c>
      <c r="Q177" s="3" t="s">
        <v>136</v>
      </c>
      <c r="R177" s="3" t="s">
        <v>41</v>
      </c>
      <c r="S177" s="3" t="s">
        <v>765</v>
      </c>
      <c r="T177" s="4">
        <v>1</v>
      </c>
      <c r="U177" s="4">
        <v>3</v>
      </c>
      <c r="V177" s="4">
        <v>0</v>
      </c>
      <c r="W177" s="3" t="s">
        <v>647</v>
      </c>
      <c r="X177" s="3" t="s">
        <v>43</v>
      </c>
    </row>
    <row r="178" spans="1:24" ht="12.9" customHeight="1" x14ac:dyDescent="0.3">
      <c r="A178" s="3" t="s">
        <v>637</v>
      </c>
      <c r="B178" s="4">
        <v>13765</v>
      </c>
      <c r="C178" s="3" t="s">
        <v>708</v>
      </c>
      <c r="D178" s="3" t="s">
        <v>639</v>
      </c>
      <c r="E178" s="3" t="s">
        <v>640</v>
      </c>
      <c r="F178" s="3" t="s">
        <v>649</v>
      </c>
      <c r="G178" s="3" t="s">
        <v>642</v>
      </c>
      <c r="H178" s="3" t="s">
        <v>650</v>
      </c>
      <c r="I178" s="3" t="s">
        <v>651</v>
      </c>
      <c r="J178" s="3">
        <v>14.740833333333333</v>
      </c>
      <c r="K178" s="3" t="s">
        <v>782</v>
      </c>
      <c r="L178" s="3">
        <v>61.101666666666667</v>
      </c>
      <c r="M178" s="3" t="s">
        <v>813</v>
      </c>
      <c r="N178" s="4">
        <v>658</v>
      </c>
      <c r="O178" s="5">
        <v>43133</v>
      </c>
      <c r="P178" s="5">
        <v>43140</v>
      </c>
      <c r="Q178" s="3" t="s">
        <v>131</v>
      </c>
      <c r="R178" s="3" t="s">
        <v>41</v>
      </c>
      <c r="S178" s="3" t="s">
        <v>765</v>
      </c>
      <c r="T178" s="4">
        <v>0</v>
      </c>
      <c r="U178" s="4">
        <v>2</v>
      </c>
      <c r="V178" s="4">
        <v>0</v>
      </c>
      <c r="W178" s="3" t="s">
        <v>647</v>
      </c>
      <c r="X178" s="3" t="s">
        <v>43</v>
      </c>
    </row>
    <row r="179" spans="1:24" ht="12.9" customHeight="1" x14ac:dyDescent="0.3">
      <c r="A179" s="3" t="s">
        <v>637</v>
      </c>
      <c r="B179" s="4">
        <v>13766</v>
      </c>
      <c r="C179" s="3" t="s">
        <v>648</v>
      </c>
      <c r="D179" s="3" t="s">
        <v>639</v>
      </c>
      <c r="E179" s="3" t="s">
        <v>640</v>
      </c>
      <c r="F179" s="3" t="s">
        <v>649</v>
      </c>
      <c r="G179" s="3" t="s">
        <v>642</v>
      </c>
      <c r="H179" s="3" t="s">
        <v>650</v>
      </c>
      <c r="I179" s="3" t="s">
        <v>651</v>
      </c>
      <c r="J179" s="3">
        <v>14.740833333333333</v>
      </c>
      <c r="K179" s="3" t="s">
        <v>782</v>
      </c>
      <c r="L179" s="3">
        <v>61.101666666666667</v>
      </c>
      <c r="M179" s="3" t="s">
        <v>813</v>
      </c>
      <c r="N179" s="4">
        <v>658</v>
      </c>
      <c r="O179" s="5">
        <v>43133</v>
      </c>
      <c r="P179" s="5">
        <v>43140</v>
      </c>
      <c r="Q179" s="3" t="s">
        <v>128</v>
      </c>
      <c r="R179" s="3" t="s">
        <v>41</v>
      </c>
      <c r="S179" s="3" t="s">
        <v>765</v>
      </c>
      <c r="T179" s="4">
        <v>0</v>
      </c>
      <c r="U179" s="4">
        <v>4</v>
      </c>
      <c r="V179" s="4">
        <v>0</v>
      </c>
      <c r="W179" s="3" t="s">
        <v>647</v>
      </c>
      <c r="X179" s="3" t="s">
        <v>43</v>
      </c>
    </row>
    <row r="180" spans="1:24" ht="12.9" customHeight="1" x14ac:dyDescent="0.3">
      <c r="A180" s="3" t="s">
        <v>637</v>
      </c>
      <c r="B180" s="4">
        <v>13767</v>
      </c>
      <c r="C180" s="3" t="s">
        <v>695</v>
      </c>
      <c r="D180" s="3" t="s">
        <v>639</v>
      </c>
      <c r="E180" s="3" t="s">
        <v>640</v>
      </c>
      <c r="F180" s="3" t="s">
        <v>649</v>
      </c>
      <c r="G180" s="3" t="s">
        <v>642</v>
      </c>
      <c r="H180" s="3" t="s">
        <v>650</v>
      </c>
      <c r="I180" s="3" t="s">
        <v>651</v>
      </c>
      <c r="J180" s="3">
        <v>14.740833333333333</v>
      </c>
      <c r="K180" s="3" t="s">
        <v>782</v>
      </c>
      <c r="L180" s="3">
        <v>61.101666666666667</v>
      </c>
      <c r="M180" s="3" t="s">
        <v>813</v>
      </c>
      <c r="N180" s="4">
        <v>658</v>
      </c>
      <c r="O180" s="5">
        <v>43133</v>
      </c>
      <c r="P180" s="5">
        <v>43140</v>
      </c>
      <c r="Q180" s="3" t="s">
        <v>136</v>
      </c>
      <c r="R180" s="3" t="s">
        <v>41</v>
      </c>
      <c r="S180" s="3" t="s">
        <v>765</v>
      </c>
      <c r="T180" s="4">
        <v>0</v>
      </c>
      <c r="U180" s="4">
        <v>4</v>
      </c>
      <c r="V180" s="4">
        <v>0</v>
      </c>
      <c r="W180" s="3" t="s">
        <v>647</v>
      </c>
      <c r="X180" s="3" t="s">
        <v>43</v>
      </c>
    </row>
    <row r="181" spans="1:24" ht="12.9" customHeight="1" x14ac:dyDescent="0.3">
      <c r="A181" s="3" t="s">
        <v>637</v>
      </c>
      <c r="B181" s="4">
        <v>13768</v>
      </c>
      <c r="C181" s="3" t="s">
        <v>696</v>
      </c>
      <c r="D181" s="3" t="s">
        <v>639</v>
      </c>
      <c r="E181" s="3" t="s">
        <v>640</v>
      </c>
      <c r="F181" s="3" t="s">
        <v>649</v>
      </c>
      <c r="G181" s="3" t="s">
        <v>642</v>
      </c>
      <c r="H181" s="3" t="s">
        <v>697</v>
      </c>
      <c r="I181" s="3" t="s">
        <v>698</v>
      </c>
      <c r="J181" s="3">
        <v>14.741388888888888</v>
      </c>
      <c r="K181" s="3" t="s">
        <v>796</v>
      </c>
      <c r="L181" s="3">
        <v>61.101111111111109</v>
      </c>
      <c r="M181" s="3" t="s">
        <v>827</v>
      </c>
      <c r="N181" s="4">
        <v>657</v>
      </c>
      <c r="O181" s="5">
        <v>43133</v>
      </c>
      <c r="P181" s="5">
        <v>43140</v>
      </c>
      <c r="Q181" s="3" t="s">
        <v>136</v>
      </c>
      <c r="R181" s="3" t="s">
        <v>41</v>
      </c>
      <c r="S181" s="3" t="s">
        <v>765</v>
      </c>
      <c r="T181" s="4">
        <v>0</v>
      </c>
      <c r="U181" s="4">
        <v>6</v>
      </c>
      <c r="V181" s="4">
        <v>0</v>
      </c>
      <c r="W181" s="3" t="s">
        <v>647</v>
      </c>
      <c r="X181" s="3" t="s">
        <v>43</v>
      </c>
    </row>
    <row r="182" spans="1:24" ht="12.9" customHeight="1" x14ac:dyDescent="0.3">
      <c r="A182" s="3" t="s">
        <v>637</v>
      </c>
      <c r="B182" s="4">
        <v>13769</v>
      </c>
      <c r="C182" s="3" t="s">
        <v>720</v>
      </c>
      <c r="D182" s="3" t="s">
        <v>639</v>
      </c>
      <c r="E182" s="3" t="s">
        <v>640</v>
      </c>
      <c r="F182" s="3" t="s">
        <v>649</v>
      </c>
      <c r="G182" s="3" t="s">
        <v>642</v>
      </c>
      <c r="H182" s="3" t="s">
        <v>721</v>
      </c>
      <c r="I182" s="3" t="s">
        <v>722</v>
      </c>
      <c r="J182" s="3">
        <v>14.743333333333334</v>
      </c>
      <c r="K182" s="3" t="s">
        <v>802</v>
      </c>
      <c r="L182" s="3">
        <v>62.248888888888892</v>
      </c>
      <c r="M182" s="3" t="s">
        <v>832</v>
      </c>
      <c r="N182" s="4">
        <v>656</v>
      </c>
      <c r="O182" s="5">
        <v>43133</v>
      </c>
      <c r="P182" s="5">
        <v>43140</v>
      </c>
      <c r="Q182" s="3" t="s">
        <v>136</v>
      </c>
      <c r="R182" s="3" t="s">
        <v>41</v>
      </c>
      <c r="S182" s="3" t="s">
        <v>765</v>
      </c>
      <c r="T182" s="4">
        <v>0</v>
      </c>
      <c r="U182" s="4">
        <v>1</v>
      </c>
      <c r="V182" s="4">
        <v>0</v>
      </c>
      <c r="W182" s="3" t="s">
        <v>647</v>
      </c>
      <c r="X182" s="3" t="s">
        <v>43</v>
      </c>
    </row>
    <row r="183" spans="1:24" ht="12.9" customHeight="1" x14ac:dyDescent="0.3">
      <c r="A183" s="3" t="s">
        <v>637</v>
      </c>
      <c r="B183" s="4">
        <v>13770</v>
      </c>
      <c r="C183" s="3" t="s">
        <v>738</v>
      </c>
      <c r="D183" s="3" t="s">
        <v>639</v>
      </c>
      <c r="E183" s="3" t="s">
        <v>640</v>
      </c>
      <c r="F183" s="3" t="s">
        <v>654</v>
      </c>
      <c r="G183" s="3" t="s">
        <v>642</v>
      </c>
      <c r="H183" s="3" t="s">
        <v>655</v>
      </c>
      <c r="I183" s="3" t="s">
        <v>644</v>
      </c>
      <c r="J183" s="3">
        <v>14.89</v>
      </c>
      <c r="K183" s="3" t="s">
        <v>783</v>
      </c>
      <c r="L183" s="3">
        <v>61.095277777777781</v>
      </c>
      <c r="M183" s="3" t="s">
        <v>814</v>
      </c>
      <c r="N183" s="4">
        <v>357</v>
      </c>
      <c r="O183" s="5">
        <v>43123</v>
      </c>
      <c r="P183" s="5">
        <v>43130</v>
      </c>
      <c r="Q183" s="3" t="s">
        <v>128</v>
      </c>
      <c r="R183" s="3" t="s">
        <v>41</v>
      </c>
      <c r="S183" s="3" t="s">
        <v>765</v>
      </c>
      <c r="T183" s="4">
        <v>0</v>
      </c>
      <c r="U183" s="4">
        <v>2</v>
      </c>
      <c r="V183" s="4">
        <v>0</v>
      </c>
      <c r="W183" s="3" t="s">
        <v>647</v>
      </c>
      <c r="X183" s="3" t="s">
        <v>43</v>
      </c>
    </row>
    <row r="184" spans="1:24" ht="12.9" customHeight="1" x14ac:dyDescent="0.3">
      <c r="A184" s="3" t="s">
        <v>637</v>
      </c>
      <c r="B184" s="4">
        <v>13771</v>
      </c>
      <c r="C184" s="3" t="s">
        <v>656</v>
      </c>
      <c r="D184" s="3" t="s">
        <v>639</v>
      </c>
      <c r="E184" s="3" t="s">
        <v>640</v>
      </c>
      <c r="F184" s="3" t="s">
        <v>654</v>
      </c>
      <c r="G184" s="3" t="s">
        <v>642</v>
      </c>
      <c r="H184" s="3" t="s">
        <v>657</v>
      </c>
      <c r="I184" s="3" t="s">
        <v>644</v>
      </c>
      <c r="J184" s="3">
        <v>14.892777777777777</v>
      </c>
      <c r="K184" s="3" t="s">
        <v>784</v>
      </c>
      <c r="L184" s="3">
        <v>61.101944444444442</v>
      </c>
      <c r="M184" s="3" t="s">
        <v>815</v>
      </c>
      <c r="N184" s="4">
        <v>374</v>
      </c>
      <c r="O184" s="5">
        <v>43123</v>
      </c>
      <c r="P184" s="5">
        <v>43130</v>
      </c>
      <c r="Q184" s="3" t="s">
        <v>136</v>
      </c>
      <c r="R184" s="3" t="s">
        <v>41</v>
      </c>
      <c r="S184" s="3" t="s">
        <v>765</v>
      </c>
      <c r="T184" s="4">
        <v>0</v>
      </c>
      <c r="U184" s="4">
        <v>1</v>
      </c>
      <c r="V184" s="4">
        <v>0</v>
      </c>
      <c r="W184" s="3" t="s">
        <v>647</v>
      </c>
      <c r="X184" s="3" t="s">
        <v>43</v>
      </c>
    </row>
    <row r="185" spans="1:24" ht="12.9" customHeight="1" x14ac:dyDescent="0.3">
      <c r="A185" s="3" t="s">
        <v>637</v>
      </c>
      <c r="B185" s="4">
        <v>13772</v>
      </c>
      <c r="C185" s="3" t="s">
        <v>739</v>
      </c>
      <c r="D185" s="3" t="s">
        <v>639</v>
      </c>
      <c r="E185" s="3" t="s">
        <v>640</v>
      </c>
      <c r="F185" s="3" t="s">
        <v>654</v>
      </c>
      <c r="G185" s="3" t="s">
        <v>642</v>
      </c>
      <c r="H185" s="3" t="s">
        <v>740</v>
      </c>
      <c r="I185" s="3" t="s">
        <v>644</v>
      </c>
      <c r="J185" s="3">
        <v>14.8925</v>
      </c>
      <c r="K185" s="3" t="s">
        <v>806</v>
      </c>
      <c r="L185" s="3">
        <v>61.106666666666669</v>
      </c>
      <c r="M185" s="3" t="s">
        <v>836</v>
      </c>
      <c r="N185" s="4">
        <v>389</v>
      </c>
      <c r="O185" s="5">
        <v>43123</v>
      </c>
      <c r="P185" s="5">
        <v>43130</v>
      </c>
      <c r="Q185" s="3" t="s">
        <v>136</v>
      </c>
      <c r="R185" s="3" t="s">
        <v>41</v>
      </c>
      <c r="S185" s="3" t="s">
        <v>765</v>
      </c>
      <c r="T185" s="4">
        <v>0</v>
      </c>
      <c r="U185" s="4">
        <v>1</v>
      </c>
      <c r="V185" s="4">
        <v>0</v>
      </c>
      <c r="W185" s="3" t="s">
        <v>647</v>
      </c>
      <c r="X185" s="3" t="s">
        <v>43</v>
      </c>
    </row>
    <row r="186" spans="1:24" ht="12.9" customHeight="1" x14ac:dyDescent="0.3">
      <c r="A186" s="3" t="s">
        <v>637</v>
      </c>
      <c r="B186" s="4">
        <v>13773</v>
      </c>
      <c r="C186" s="3" t="s">
        <v>638</v>
      </c>
      <c r="D186" s="3" t="s">
        <v>639</v>
      </c>
      <c r="E186" s="3" t="s">
        <v>640</v>
      </c>
      <c r="F186" s="3" t="s">
        <v>641</v>
      </c>
      <c r="G186" s="3" t="s">
        <v>642</v>
      </c>
      <c r="H186" s="3" t="s">
        <v>643</v>
      </c>
      <c r="I186" s="3" t="s">
        <v>644</v>
      </c>
      <c r="J186" s="3">
        <v>14.878888888888889</v>
      </c>
      <c r="K186" s="3" t="s">
        <v>645</v>
      </c>
      <c r="L186" s="3">
        <v>61.099444444444444</v>
      </c>
      <c r="M186" s="3" t="s">
        <v>812</v>
      </c>
      <c r="N186" s="4">
        <v>333</v>
      </c>
      <c r="O186" s="5">
        <v>43123</v>
      </c>
      <c r="P186" s="5">
        <v>43130</v>
      </c>
      <c r="Q186" s="3" t="s">
        <v>136</v>
      </c>
      <c r="R186" s="3" t="s">
        <v>41</v>
      </c>
      <c r="S186" s="3" t="s">
        <v>765</v>
      </c>
      <c r="T186" s="4">
        <v>0</v>
      </c>
      <c r="U186" s="4">
        <v>2</v>
      </c>
      <c r="V186" s="4">
        <v>0</v>
      </c>
      <c r="W186" s="3" t="s">
        <v>647</v>
      </c>
      <c r="X186" s="3" t="s">
        <v>43</v>
      </c>
    </row>
    <row r="187" spans="1:24" ht="12.9" customHeight="1" x14ac:dyDescent="0.3">
      <c r="A187" s="3" t="s">
        <v>637</v>
      </c>
      <c r="B187" s="4">
        <v>13774</v>
      </c>
      <c r="C187" s="3" t="s">
        <v>659</v>
      </c>
      <c r="D187" s="3" t="s">
        <v>639</v>
      </c>
      <c r="E187" s="3" t="s">
        <v>640</v>
      </c>
      <c r="F187" s="3" t="s">
        <v>641</v>
      </c>
      <c r="G187" s="3" t="s">
        <v>642</v>
      </c>
      <c r="H187" s="3" t="s">
        <v>660</v>
      </c>
      <c r="I187" s="3" t="s">
        <v>644</v>
      </c>
      <c r="J187" s="3">
        <v>14.876944444444444</v>
      </c>
      <c r="K187" s="3" t="s">
        <v>785</v>
      </c>
      <c r="L187" s="3">
        <v>61.101388888888891</v>
      </c>
      <c r="M187" s="3" t="s">
        <v>816</v>
      </c>
      <c r="N187" s="4">
        <v>337</v>
      </c>
      <c r="O187" s="5">
        <v>43123</v>
      </c>
      <c r="P187" s="5">
        <v>43130</v>
      </c>
      <c r="Q187" s="3" t="s">
        <v>136</v>
      </c>
      <c r="R187" s="3" t="s">
        <v>41</v>
      </c>
      <c r="S187" s="3" t="s">
        <v>765</v>
      </c>
      <c r="T187" s="4">
        <v>0</v>
      </c>
      <c r="U187" s="4">
        <v>2</v>
      </c>
      <c r="V187" s="4">
        <v>0</v>
      </c>
      <c r="W187" s="3" t="s">
        <v>647</v>
      </c>
      <c r="X187" s="3" t="s">
        <v>43</v>
      </c>
    </row>
    <row r="188" spans="1:24" ht="12.9" customHeight="1" x14ac:dyDescent="0.3">
      <c r="A188" s="3" t="s">
        <v>637</v>
      </c>
      <c r="B188" s="4">
        <v>13775</v>
      </c>
      <c r="C188" s="3" t="s">
        <v>742</v>
      </c>
      <c r="D188" s="3" t="s">
        <v>639</v>
      </c>
      <c r="E188" s="3" t="s">
        <v>640</v>
      </c>
      <c r="F188" s="3" t="s">
        <v>641</v>
      </c>
      <c r="G188" s="3" t="s">
        <v>642</v>
      </c>
      <c r="H188" s="3" t="s">
        <v>743</v>
      </c>
      <c r="I188" s="3" t="s">
        <v>644</v>
      </c>
      <c r="J188" s="3">
        <v>14.878611111111111</v>
      </c>
      <c r="K188" s="3" t="s">
        <v>807</v>
      </c>
      <c r="L188" s="3">
        <v>61.106111111111112</v>
      </c>
      <c r="M188" s="3" t="s">
        <v>837</v>
      </c>
      <c r="N188" s="4">
        <v>354</v>
      </c>
      <c r="O188" s="5">
        <v>43123</v>
      </c>
      <c r="P188" s="5">
        <v>43130</v>
      </c>
      <c r="Q188" s="3" t="s">
        <v>136</v>
      </c>
      <c r="R188" s="3" t="s">
        <v>41</v>
      </c>
      <c r="S188" s="3" t="s">
        <v>765</v>
      </c>
      <c r="T188" s="4">
        <v>0</v>
      </c>
      <c r="U188" s="4">
        <v>1</v>
      </c>
      <c r="V188" s="4">
        <v>0</v>
      </c>
      <c r="W188" s="3" t="s">
        <v>647</v>
      </c>
      <c r="X188" s="3" t="s">
        <v>43</v>
      </c>
    </row>
    <row r="189" spans="1:24" ht="12.9" customHeight="1" x14ac:dyDescent="0.3">
      <c r="A189" s="3" t="s">
        <v>637</v>
      </c>
      <c r="B189" s="4">
        <v>13776</v>
      </c>
      <c r="C189" s="3" t="s">
        <v>744</v>
      </c>
      <c r="D189" s="3" t="s">
        <v>639</v>
      </c>
      <c r="E189" s="3" t="s">
        <v>640</v>
      </c>
      <c r="F189" s="3" t="s">
        <v>700</v>
      </c>
      <c r="G189" s="3" t="s">
        <v>642</v>
      </c>
      <c r="H189" s="3" t="s">
        <v>701</v>
      </c>
      <c r="I189" s="3" t="s">
        <v>702</v>
      </c>
      <c r="J189" s="3">
        <v>14.795</v>
      </c>
      <c r="K189" s="3" t="s">
        <v>797</v>
      </c>
      <c r="L189" s="3">
        <v>61.194166666666668</v>
      </c>
      <c r="M189" s="3" t="s">
        <v>828</v>
      </c>
      <c r="N189" s="4">
        <v>453</v>
      </c>
      <c r="O189" s="5">
        <v>43126</v>
      </c>
      <c r="P189" s="5">
        <v>43133</v>
      </c>
      <c r="Q189" s="3" t="s">
        <v>131</v>
      </c>
      <c r="R189" s="3" t="s">
        <v>41</v>
      </c>
      <c r="S189" s="3" t="s">
        <v>765</v>
      </c>
      <c r="T189" s="4">
        <v>0</v>
      </c>
      <c r="U189" s="4">
        <v>1</v>
      </c>
      <c r="V189" s="4">
        <v>0</v>
      </c>
      <c r="W189" s="3" t="s">
        <v>647</v>
      </c>
      <c r="X189" s="3" t="s">
        <v>43</v>
      </c>
    </row>
    <row r="190" spans="1:24" ht="12.9" customHeight="1" x14ac:dyDescent="0.3">
      <c r="A190" s="3" t="s">
        <v>637</v>
      </c>
      <c r="B190" s="4">
        <v>13777</v>
      </c>
      <c r="C190" s="3" t="s">
        <v>710</v>
      </c>
      <c r="D190" s="3" t="s">
        <v>639</v>
      </c>
      <c r="E190" s="3" t="s">
        <v>640</v>
      </c>
      <c r="F190" s="3" t="s">
        <v>662</v>
      </c>
      <c r="G190" s="3" t="s">
        <v>642</v>
      </c>
      <c r="H190" s="3" t="s">
        <v>711</v>
      </c>
      <c r="I190" s="3" t="s">
        <v>702</v>
      </c>
      <c r="J190" s="3">
        <v>14.759166666666667</v>
      </c>
      <c r="K190" s="3" t="s">
        <v>799</v>
      </c>
      <c r="L190" s="3">
        <v>61.213333333333331</v>
      </c>
      <c r="M190" s="3" t="s">
        <v>830</v>
      </c>
      <c r="N190" s="4">
        <v>486</v>
      </c>
      <c r="O190" s="5">
        <v>43126</v>
      </c>
      <c r="P190" s="5">
        <v>43133</v>
      </c>
      <c r="Q190" s="3" t="s">
        <v>136</v>
      </c>
      <c r="R190" s="3" t="s">
        <v>41</v>
      </c>
      <c r="S190" s="3" t="s">
        <v>765</v>
      </c>
      <c r="T190" s="4">
        <v>0</v>
      </c>
      <c r="U190" s="4">
        <v>2</v>
      </c>
      <c r="V190" s="4">
        <v>0</v>
      </c>
      <c r="W190" s="3" t="s">
        <v>647</v>
      </c>
      <c r="X190" s="3" t="s">
        <v>43</v>
      </c>
    </row>
    <row r="191" spans="1:24" ht="12.9" customHeight="1" x14ac:dyDescent="0.3">
      <c r="A191" s="3" t="s">
        <v>637</v>
      </c>
      <c r="B191" s="4">
        <v>13778</v>
      </c>
      <c r="C191" s="3" t="s">
        <v>661</v>
      </c>
      <c r="D191" s="3" t="s">
        <v>639</v>
      </c>
      <c r="E191" s="3" t="s">
        <v>640</v>
      </c>
      <c r="F191" s="3" t="s">
        <v>662</v>
      </c>
      <c r="G191" s="3" t="s">
        <v>642</v>
      </c>
      <c r="H191" s="3" t="s">
        <v>663</v>
      </c>
      <c r="I191" s="3" t="s">
        <v>664</v>
      </c>
      <c r="J191" s="3">
        <v>14.761944444444444</v>
      </c>
      <c r="K191" s="3" t="s">
        <v>786</v>
      </c>
      <c r="L191" s="3">
        <v>61.083333333333336</v>
      </c>
      <c r="M191" s="3" t="s">
        <v>817</v>
      </c>
      <c r="N191" s="4">
        <v>497</v>
      </c>
      <c r="O191" s="5">
        <v>43126</v>
      </c>
      <c r="P191" s="5">
        <v>43133</v>
      </c>
      <c r="Q191" s="3" t="s">
        <v>136</v>
      </c>
      <c r="R191" s="3" t="s">
        <v>41</v>
      </c>
      <c r="S191" s="3" t="s">
        <v>765</v>
      </c>
      <c r="T191" s="4">
        <v>0</v>
      </c>
      <c r="U191" s="4">
        <v>1</v>
      </c>
      <c r="V191" s="4">
        <v>0</v>
      </c>
      <c r="W191" s="3" t="s">
        <v>647</v>
      </c>
      <c r="X191" s="3" t="s">
        <v>43</v>
      </c>
    </row>
    <row r="192" spans="1:24" ht="12.9" customHeight="1" x14ac:dyDescent="0.3">
      <c r="A192" s="3" t="s">
        <v>637</v>
      </c>
      <c r="B192" s="4">
        <v>13779</v>
      </c>
      <c r="C192" s="3" t="s">
        <v>669</v>
      </c>
      <c r="D192" s="3" t="s">
        <v>639</v>
      </c>
      <c r="E192" s="3" t="s">
        <v>640</v>
      </c>
      <c r="F192" s="3" t="s">
        <v>666</v>
      </c>
      <c r="G192" s="3" t="s">
        <v>642</v>
      </c>
      <c r="H192" s="3" t="s">
        <v>667</v>
      </c>
      <c r="I192" s="3" t="s">
        <v>644</v>
      </c>
      <c r="J192" s="3">
        <v>14.731666666666667</v>
      </c>
      <c r="K192" s="3" t="s">
        <v>787</v>
      </c>
      <c r="L192" s="3">
        <v>61.205833333333331</v>
      </c>
      <c r="M192" s="3" t="s">
        <v>818</v>
      </c>
      <c r="N192" s="4">
        <v>554</v>
      </c>
      <c r="O192" s="5">
        <v>43122</v>
      </c>
      <c r="P192" s="5">
        <v>43129</v>
      </c>
      <c r="Q192" s="3" t="s">
        <v>128</v>
      </c>
      <c r="R192" s="3" t="s">
        <v>668</v>
      </c>
      <c r="S192" s="3" t="s">
        <v>765</v>
      </c>
      <c r="T192" s="4">
        <v>1</v>
      </c>
      <c r="U192" s="4">
        <v>0</v>
      </c>
      <c r="V192" s="4">
        <v>0</v>
      </c>
      <c r="W192" s="3" t="s">
        <v>647</v>
      </c>
      <c r="X192" s="3" t="s">
        <v>43</v>
      </c>
    </row>
    <row r="193" spans="1:24" ht="12.9" customHeight="1" x14ac:dyDescent="0.3">
      <c r="A193" s="3" t="s">
        <v>637</v>
      </c>
      <c r="B193" s="4">
        <v>13780</v>
      </c>
      <c r="C193" s="3" t="s">
        <v>669</v>
      </c>
      <c r="D193" s="3" t="s">
        <v>639</v>
      </c>
      <c r="E193" s="3" t="s">
        <v>640</v>
      </c>
      <c r="F193" s="3" t="s">
        <v>666</v>
      </c>
      <c r="G193" s="3" t="s">
        <v>642</v>
      </c>
      <c r="H193" s="3" t="s">
        <v>667</v>
      </c>
      <c r="I193" s="3" t="s">
        <v>644</v>
      </c>
      <c r="J193" s="3">
        <v>14.731666666666667</v>
      </c>
      <c r="K193" s="3" t="s">
        <v>787</v>
      </c>
      <c r="L193" s="3">
        <v>61.205833333333331</v>
      </c>
      <c r="M193" s="3" t="s">
        <v>818</v>
      </c>
      <c r="N193" s="4">
        <v>554</v>
      </c>
      <c r="O193" s="5">
        <v>43122</v>
      </c>
      <c r="P193" s="5">
        <v>43129</v>
      </c>
      <c r="Q193" s="3" t="s">
        <v>128</v>
      </c>
      <c r="R193" s="3" t="s">
        <v>668</v>
      </c>
      <c r="S193" s="3" t="s">
        <v>765</v>
      </c>
      <c r="T193" s="4">
        <v>0</v>
      </c>
      <c r="U193" s="4">
        <v>2</v>
      </c>
      <c r="V193" s="4">
        <v>0</v>
      </c>
      <c r="W193" s="3" t="s">
        <v>647</v>
      </c>
      <c r="X193" s="3" t="s">
        <v>43</v>
      </c>
    </row>
    <row r="194" spans="1:24" ht="12.9" customHeight="1" x14ac:dyDescent="0.3">
      <c r="A194" s="3" t="s">
        <v>637</v>
      </c>
      <c r="B194" s="4">
        <v>13781</v>
      </c>
      <c r="C194" s="3" t="s">
        <v>746</v>
      </c>
      <c r="D194" s="3" t="s">
        <v>639</v>
      </c>
      <c r="E194" s="3" t="s">
        <v>640</v>
      </c>
      <c r="F194" s="3" t="s">
        <v>666</v>
      </c>
      <c r="G194" s="3" t="s">
        <v>642</v>
      </c>
      <c r="H194" s="3" t="s">
        <v>667</v>
      </c>
      <c r="I194" s="3" t="s">
        <v>644</v>
      </c>
      <c r="J194" s="3">
        <v>14.731666666666667</v>
      </c>
      <c r="K194" s="3" t="s">
        <v>787</v>
      </c>
      <c r="L194" s="3">
        <v>61.205833333333331</v>
      </c>
      <c r="M194" s="3" t="s">
        <v>818</v>
      </c>
      <c r="N194" s="4">
        <v>554</v>
      </c>
      <c r="O194" s="5">
        <v>43122</v>
      </c>
      <c r="P194" s="5">
        <v>43129</v>
      </c>
      <c r="Q194" s="3" t="s">
        <v>136</v>
      </c>
      <c r="R194" s="3" t="s">
        <v>41</v>
      </c>
      <c r="S194" s="3" t="s">
        <v>765</v>
      </c>
      <c r="T194" s="4">
        <v>0</v>
      </c>
      <c r="U194" s="4">
        <v>1</v>
      </c>
      <c r="V194" s="4">
        <v>0</v>
      </c>
      <c r="W194" s="3" t="s">
        <v>647</v>
      </c>
      <c r="X194" s="3" t="s">
        <v>43</v>
      </c>
    </row>
    <row r="195" spans="1:24" ht="12.9" customHeight="1" x14ac:dyDescent="0.3">
      <c r="A195" s="3" t="s">
        <v>637</v>
      </c>
      <c r="B195" s="4">
        <v>13782</v>
      </c>
      <c r="C195" s="3" t="s">
        <v>670</v>
      </c>
      <c r="D195" s="3" t="s">
        <v>639</v>
      </c>
      <c r="E195" s="3" t="s">
        <v>640</v>
      </c>
      <c r="F195" s="3" t="s">
        <v>666</v>
      </c>
      <c r="G195" s="3" t="s">
        <v>642</v>
      </c>
      <c r="H195" s="3" t="s">
        <v>671</v>
      </c>
      <c r="I195" s="3" t="s">
        <v>644</v>
      </c>
      <c r="J195" s="3">
        <v>14.7425</v>
      </c>
      <c r="K195" s="3" t="s">
        <v>788</v>
      </c>
      <c r="L195" s="3">
        <v>61.215555555555554</v>
      </c>
      <c r="M195" s="3" t="s">
        <v>819</v>
      </c>
      <c r="N195" s="4">
        <v>599</v>
      </c>
      <c r="O195" s="5">
        <v>43122</v>
      </c>
      <c r="P195" s="5">
        <v>43129</v>
      </c>
      <c r="Q195" s="3" t="s">
        <v>136</v>
      </c>
      <c r="R195" s="3" t="s">
        <v>668</v>
      </c>
      <c r="S195" s="3" t="s">
        <v>765</v>
      </c>
      <c r="T195" s="4">
        <v>0</v>
      </c>
      <c r="U195" s="4">
        <v>4</v>
      </c>
      <c r="V195" s="4">
        <v>0</v>
      </c>
      <c r="W195" s="3" t="s">
        <v>647</v>
      </c>
      <c r="X195" s="3" t="s">
        <v>43</v>
      </c>
    </row>
    <row r="196" spans="1:24" ht="12.9" customHeight="1" x14ac:dyDescent="0.3">
      <c r="A196" s="3" t="s">
        <v>637</v>
      </c>
      <c r="B196" s="4">
        <v>13783</v>
      </c>
      <c r="C196" s="3" t="s">
        <v>672</v>
      </c>
      <c r="D196" s="3" t="s">
        <v>639</v>
      </c>
      <c r="E196" s="3" t="s">
        <v>640</v>
      </c>
      <c r="F196" s="3" t="s">
        <v>673</v>
      </c>
      <c r="G196" s="3" t="s">
        <v>642</v>
      </c>
      <c r="H196" s="3" t="s">
        <v>674</v>
      </c>
      <c r="I196" s="3" t="s">
        <v>664</v>
      </c>
      <c r="J196" s="3">
        <v>14.820833333333333</v>
      </c>
      <c r="K196" s="3" t="s">
        <v>789</v>
      </c>
      <c r="L196" s="3">
        <v>61.136666666666663</v>
      </c>
      <c r="M196" s="3" t="s">
        <v>820</v>
      </c>
      <c r="N196" s="4">
        <v>524</v>
      </c>
      <c r="O196" s="5">
        <v>43124</v>
      </c>
      <c r="P196" s="5">
        <v>43131</v>
      </c>
      <c r="Q196" s="3" t="s">
        <v>136</v>
      </c>
      <c r="R196" s="3" t="s">
        <v>41</v>
      </c>
      <c r="S196" s="3" t="s">
        <v>765</v>
      </c>
      <c r="T196" s="4">
        <v>0</v>
      </c>
      <c r="U196" s="4">
        <v>1</v>
      </c>
      <c r="V196" s="4">
        <v>0</v>
      </c>
      <c r="W196" s="3" t="s">
        <v>647</v>
      </c>
      <c r="X196" s="3" t="s">
        <v>43</v>
      </c>
    </row>
    <row r="197" spans="1:24" ht="12.9" customHeight="1" x14ac:dyDescent="0.3">
      <c r="A197" s="3" t="s">
        <v>637</v>
      </c>
      <c r="B197" s="4">
        <v>13784</v>
      </c>
      <c r="C197" s="3" t="s">
        <v>677</v>
      </c>
      <c r="D197" s="3" t="s">
        <v>639</v>
      </c>
      <c r="E197" s="3" t="s">
        <v>640</v>
      </c>
      <c r="F197" s="3" t="s">
        <v>673</v>
      </c>
      <c r="G197" s="3" t="s">
        <v>642</v>
      </c>
      <c r="H197" s="3" t="s">
        <v>678</v>
      </c>
      <c r="I197" s="3" t="s">
        <v>679</v>
      </c>
      <c r="J197" s="3">
        <v>14.695</v>
      </c>
      <c r="K197" s="3" t="s">
        <v>791</v>
      </c>
      <c r="L197" s="3">
        <v>61.130277777777778</v>
      </c>
      <c r="M197" s="3" t="s">
        <v>822</v>
      </c>
      <c r="N197" s="4">
        <v>529</v>
      </c>
      <c r="O197" s="5">
        <v>43124</v>
      </c>
      <c r="P197" s="5">
        <v>43131</v>
      </c>
      <c r="Q197" s="3" t="s">
        <v>136</v>
      </c>
      <c r="R197" s="3" t="s">
        <v>41</v>
      </c>
      <c r="S197" s="3" t="s">
        <v>765</v>
      </c>
      <c r="T197" s="4">
        <v>0</v>
      </c>
      <c r="U197" s="4">
        <v>2</v>
      </c>
      <c r="V197" s="4">
        <v>0</v>
      </c>
      <c r="W197" s="3" t="s">
        <v>647</v>
      </c>
      <c r="X197" s="3" t="s">
        <v>43</v>
      </c>
    </row>
    <row r="198" spans="1:24" ht="12.9" customHeight="1" x14ac:dyDescent="0.3">
      <c r="A198" s="3" t="s">
        <v>637</v>
      </c>
      <c r="B198" s="4">
        <v>13785</v>
      </c>
      <c r="C198" s="3" t="s">
        <v>680</v>
      </c>
      <c r="D198" s="3" t="s">
        <v>639</v>
      </c>
      <c r="E198" s="3" t="s">
        <v>640</v>
      </c>
      <c r="F198" s="3" t="s">
        <v>681</v>
      </c>
      <c r="G198" s="3" t="s">
        <v>642</v>
      </c>
      <c r="H198" s="3" t="s">
        <v>682</v>
      </c>
      <c r="I198" s="3" t="s">
        <v>683</v>
      </c>
      <c r="J198" s="3">
        <v>14.791388888888889</v>
      </c>
      <c r="K198" s="3" t="s">
        <v>792</v>
      </c>
      <c r="L198" s="3">
        <v>61.163611111111109</v>
      </c>
      <c r="M198" s="3" t="s">
        <v>823</v>
      </c>
      <c r="N198" s="4">
        <v>585</v>
      </c>
      <c r="O198" s="5">
        <v>43125</v>
      </c>
      <c r="P198" s="5">
        <v>43132</v>
      </c>
      <c r="Q198" s="3" t="s">
        <v>131</v>
      </c>
      <c r="R198" s="3" t="s">
        <v>41</v>
      </c>
      <c r="S198" s="3" t="s">
        <v>765</v>
      </c>
      <c r="T198" s="4">
        <v>0</v>
      </c>
      <c r="U198" s="4">
        <v>1</v>
      </c>
      <c r="V198" s="4">
        <v>0</v>
      </c>
      <c r="W198" s="3" t="s">
        <v>647</v>
      </c>
      <c r="X198" s="3" t="s">
        <v>43</v>
      </c>
    </row>
    <row r="199" spans="1:24" ht="12.9" customHeight="1" x14ac:dyDescent="0.3">
      <c r="A199" s="3" t="s">
        <v>637</v>
      </c>
      <c r="B199" s="4">
        <v>13786</v>
      </c>
      <c r="C199" s="3" t="s">
        <v>747</v>
      </c>
      <c r="D199" s="3" t="s">
        <v>639</v>
      </c>
      <c r="E199" s="3" t="s">
        <v>640</v>
      </c>
      <c r="F199" s="3" t="s">
        <v>681</v>
      </c>
      <c r="G199" s="3" t="s">
        <v>642</v>
      </c>
      <c r="H199" s="3" t="s">
        <v>682</v>
      </c>
      <c r="I199" s="3" t="s">
        <v>683</v>
      </c>
      <c r="J199" s="3">
        <v>14.791388888888889</v>
      </c>
      <c r="K199" s="3" t="s">
        <v>792</v>
      </c>
      <c r="L199" s="3">
        <v>61.163611111111109</v>
      </c>
      <c r="M199" s="3" t="s">
        <v>823</v>
      </c>
      <c r="N199" s="4">
        <v>585</v>
      </c>
      <c r="O199" s="5">
        <v>43125</v>
      </c>
      <c r="P199" s="5">
        <v>43132</v>
      </c>
      <c r="Q199" s="3" t="s">
        <v>136</v>
      </c>
      <c r="R199" s="3" t="s">
        <v>41</v>
      </c>
      <c r="S199" s="3" t="s">
        <v>765</v>
      </c>
      <c r="T199" s="4">
        <v>0</v>
      </c>
      <c r="U199" s="4">
        <v>1</v>
      </c>
      <c r="V199" s="4">
        <v>0</v>
      </c>
      <c r="W199" s="3" t="s">
        <v>647</v>
      </c>
      <c r="X199" s="3" t="s">
        <v>43</v>
      </c>
    </row>
    <row r="200" spans="1:24" ht="12.9" customHeight="1" x14ac:dyDescent="0.3">
      <c r="A200" s="3" t="s">
        <v>637</v>
      </c>
      <c r="B200" s="4">
        <v>13787</v>
      </c>
      <c r="C200" s="3" t="s">
        <v>747</v>
      </c>
      <c r="D200" s="3" t="s">
        <v>639</v>
      </c>
      <c r="E200" s="3" t="s">
        <v>640</v>
      </c>
      <c r="F200" s="3" t="s">
        <v>681</v>
      </c>
      <c r="G200" s="3" t="s">
        <v>642</v>
      </c>
      <c r="H200" s="3" t="s">
        <v>682</v>
      </c>
      <c r="I200" s="3" t="s">
        <v>683</v>
      </c>
      <c r="J200" s="3">
        <v>14.791388888888889</v>
      </c>
      <c r="K200" s="3" t="s">
        <v>792</v>
      </c>
      <c r="L200" s="3">
        <v>61.163611111111109</v>
      </c>
      <c r="M200" s="3" t="s">
        <v>823</v>
      </c>
      <c r="N200" s="4">
        <v>585</v>
      </c>
      <c r="O200" s="5">
        <v>43125</v>
      </c>
      <c r="P200" s="5">
        <v>43132</v>
      </c>
      <c r="Q200" s="3" t="s">
        <v>136</v>
      </c>
      <c r="R200" s="3" t="s">
        <v>41</v>
      </c>
      <c r="S200" s="3" t="s">
        <v>765</v>
      </c>
      <c r="T200" s="4">
        <v>0</v>
      </c>
      <c r="U200" s="4">
        <v>1</v>
      </c>
      <c r="V200" s="4">
        <v>0</v>
      </c>
      <c r="W200" s="3" t="s">
        <v>647</v>
      </c>
      <c r="X200" s="3" t="s">
        <v>43</v>
      </c>
    </row>
    <row r="201" spans="1:24" ht="12.9" customHeight="1" x14ac:dyDescent="0.3">
      <c r="A201" s="3" t="s">
        <v>637</v>
      </c>
      <c r="B201" s="4">
        <v>13788</v>
      </c>
      <c r="C201" s="3" t="s">
        <v>733</v>
      </c>
      <c r="D201" s="3" t="s">
        <v>639</v>
      </c>
      <c r="E201" s="3" t="s">
        <v>640</v>
      </c>
      <c r="F201" s="3" t="s">
        <v>730</v>
      </c>
      <c r="G201" s="3" t="s">
        <v>642</v>
      </c>
      <c r="H201" s="3" t="s">
        <v>731</v>
      </c>
      <c r="I201" s="3" t="s">
        <v>683</v>
      </c>
      <c r="J201" s="3">
        <v>14.853333333333333</v>
      </c>
      <c r="K201" s="3" t="s">
        <v>804</v>
      </c>
      <c r="L201" s="3">
        <v>61.202222222222225</v>
      </c>
      <c r="M201" s="3" t="s">
        <v>834</v>
      </c>
      <c r="N201" s="4">
        <v>260</v>
      </c>
      <c r="O201" s="5">
        <v>43127</v>
      </c>
      <c r="P201" s="5">
        <v>43134</v>
      </c>
      <c r="Q201" s="3" t="s">
        <v>128</v>
      </c>
      <c r="R201" s="3" t="s">
        <v>41</v>
      </c>
      <c r="S201" s="3" t="s">
        <v>766</v>
      </c>
      <c r="T201" s="4">
        <v>0</v>
      </c>
      <c r="U201" s="4">
        <v>1</v>
      </c>
      <c r="V201" s="4">
        <v>0</v>
      </c>
      <c r="W201" s="3" t="s">
        <v>647</v>
      </c>
      <c r="X201" s="3" t="s">
        <v>43</v>
      </c>
    </row>
    <row r="202" spans="1:24" ht="12.9" customHeight="1" x14ac:dyDescent="0.3">
      <c r="A202" s="3" t="s">
        <v>637</v>
      </c>
      <c r="B202" s="4">
        <v>13789</v>
      </c>
      <c r="C202" s="3" t="s">
        <v>734</v>
      </c>
      <c r="D202" s="3" t="s">
        <v>639</v>
      </c>
      <c r="E202" s="3" t="s">
        <v>640</v>
      </c>
      <c r="F202" s="3" t="s">
        <v>730</v>
      </c>
      <c r="G202" s="3" t="s">
        <v>642</v>
      </c>
      <c r="H202" s="3" t="s">
        <v>731</v>
      </c>
      <c r="I202" s="3" t="s">
        <v>683</v>
      </c>
      <c r="J202" s="3">
        <v>14.853333333333333</v>
      </c>
      <c r="K202" s="3" t="s">
        <v>804</v>
      </c>
      <c r="L202" s="3">
        <v>61.202222222222225</v>
      </c>
      <c r="M202" s="3" t="s">
        <v>834</v>
      </c>
      <c r="N202" s="4">
        <v>260</v>
      </c>
      <c r="O202" s="5">
        <v>43127</v>
      </c>
      <c r="P202" s="5">
        <v>43134</v>
      </c>
      <c r="Q202" s="3" t="s">
        <v>136</v>
      </c>
      <c r="R202" s="3" t="s">
        <v>41</v>
      </c>
      <c r="S202" s="3" t="s">
        <v>766</v>
      </c>
      <c r="T202" s="4">
        <v>0</v>
      </c>
      <c r="U202" s="4">
        <v>10</v>
      </c>
      <c r="V202" s="4">
        <v>0</v>
      </c>
      <c r="W202" s="3" t="s">
        <v>647</v>
      </c>
      <c r="X202" s="3" t="s">
        <v>43</v>
      </c>
    </row>
    <row r="203" spans="1:24" ht="12.9" customHeight="1" x14ac:dyDescent="0.3">
      <c r="A203" s="3" t="s">
        <v>637</v>
      </c>
      <c r="B203" s="4">
        <v>13790</v>
      </c>
      <c r="C203" s="3" t="s">
        <v>735</v>
      </c>
      <c r="D203" s="3" t="s">
        <v>639</v>
      </c>
      <c r="E203" s="3" t="s">
        <v>640</v>
      </c>
      <c r="F203" s="3" t="s">
        <v>730</v>
      </c>
      <c r="G203" s="3" t="s">
        <v>642</v>
      </c>
      <c r="H203" s="3" t="s">
        <v>736</v>
      </c>
      <c r="I203" s="3" t="s">
        <v>737</v>
      </c>
      <c r="J203" s="3">
        <v>14.848333333333333</v>
      </c>
      <c r="K203" s="3" t="s">
        <v>805</v>
      </c>
      <c r="L203" s="3">
        <v>61.192500000000003</v>
      </c>
      <c r="M203" s="3" t="s">
        <v>835</v>
      </c>
      <c r="N203" s="4">
        <v>260</v>
      </c>
      <c r="O203" s="5">
        <v>43127</v>
      </c>
      <c r="P203" s="5">
        <v>43134</v>
      </c>
      <c r="Q203" s="3" t="s">
        <v>136</v>
      </c>
      <c r="R203" s="3" t="s">
        <v>41</v>
      </c>
      <c r="S203" s="3" t="s">
        <v>766</v>
      </c>
      <c r="T203" s="4">
        <v>0</v>
      </c>
      <c r="U203" s="4">
        <v>1</v>
      </c>
      <c r="V203" s="4">
        <v>0</v>
      </c>
      <c r="W203" s="3" t="s">
        <v>647</v>
      </c>
      <c r="X203" s="3" t="s">
        <v>43</v>
      </c>
    </row>
    <row r="204" spans="1:24" ht="12.9" customHeight="1" x14ac:dyDescent="0.3">
      <c r="A204" s="3" t="s">
        <v>637</v>
      </c>
      <c r="B204" s="4">
        <v>13791</v>
      </c>
      <c r="C204" s="3" t="s">
        <v>695</v>
      </c>
      <c r="D204" s="3" t="s">
        <v>639</v>
      </c>
      <c r="E204" s="3" t="s">
        <v>640</v>
      </c>
      <c r="F204" s="3" t="s">
        <v>649</v>
      </c>
      <c r="G204" s="3" t="s">
        <v>642</v>
      </c>
      <c r="H204" s="3" t="s">
        <v>650</v>
      </c>
      <c r="I204" s="3" t="s">
        <v>651</v>
      </c>
      <c r="J204" s="3">
        <v>14.740833333333333</v>
      </c>
      <c r="K204" s="3" t="s">
        <v>782</v>
      </c>
      <c r="L204" s="3">
        <v>61.101666666666667</v>
      </c>
      <c r="M204" s="3" t="s">
        <v>813</v>
      </c>
      <c r="N204" s="4">
        <v>658</v>
      </c>
      <c r="O204" s="5">
        <v>43133</v>
      </c>
      <c r="P204" s="5">
        <v>43140</v>
      </c>
      <c r="Q204" s="3" t="s">
        <v>136</v>
      </c>
      <c r="R204" s="3" t="s">
        <v>41</v>
      </c>
      <c r="S204" s="3" t="s">
        <v>766</v>
      </c>
      <c r="T204" s="4">
        <v>0</v>
      </c>
      <c r="U204" s="4">
        <v>1</v>
      </c>
      <c r="V204" s="4">
        <v>0</v>
      </c>
      <c r="W204" s="3" t="s">
        <v>647</v>
      </c>
      <c r="X204" s="3" t="s">
        <v>43</v>
      </c>
    </row>
    <row r="205" spans="1:24" ht="12.9" customHeight="1" x14ac:dyDescent="0.3">
      <c r="A205" s="3" t="s">
        <v>637</v>
      </c>
      <c r="B205" s="4">
        <v>13792</v>
      </c>
      <c r="C205" s="3" t="s">
        <v>741</v>
      </c>
      <c r="D205" s="3" t="s">
        <v>639</v>
      </c>
      <c r="E205" s="3" t="s">
        <v>640</v>
      </c>
      <c r="F205" s="3" t="s">
        <v>641</v>
      </c>
      <c r="G205" s="3" t="s">
        <v>642</v>
      </c>
      <c r="H205" s="3" t="s">
        <v>643</v>
      </c>
      <c r="I205" s="3" t="s">
        <v>644</v>
      </c>
      <c r="J205" s="3">
        <v>14.878888888888889</v>
      </c>
      <c r="K205" s="3" t="s">
        <v>645</v>
      </c>
      <c r="L205" s="3">
        <v>61.099444444444444</v>
      </c>
      <c r="M205" s="3" t="s">
        <v>812</v>
      </c>
      <c r="N205" s="4">
        <v>333</v>
      </c>
      <c r="O205" s="5">
        <v>43123</v>
      </c>
      <c r="P205" s="5">
        <v>43130</v>
      </c>
      <c r="Q205" s="3" t="s">
        <v>128</v>
      </c>
      <c r="R205" s="3" t="s">
        <v>41</v>
      </c>
      <c r="S205" s="3" t="s">
        <v>766</v>
      </c>
      <c r="T205" s="4">
        <v>0</v>
      </c>
      <c r="U205" s="4">
        <v>2</v>
      </c>
      <c r="V205" s="4">
        <v>0</v>
      </c>
      <c r="W205" s="3" t="s">
        <v>647</v>
      </c>
      <c r="X205" s="3" t="s">
        <v>43</v>
      </c>
    </row>
    <row r="206" spans="1:24" ht="12.9" customHeight="1" x14ac:dyDescent="0.3">
      <c r="A206" s="3" t="s">
        <v>637</v>
      </c>
      <c r="B206" s="4">
        <v>13793</v>
      </c>
      <c r="C206" s="3" t="s">
        <v>638</v>
      </c>
      <c r="D206" s="3" t="s">
        <v>639</v>
      </c>
      <c r="E206" s="3" t="s">
        <v>640</v>
      </c>
      <c r="F206" s="3" t="s">
        <v>641</v>
      </c>
      <c r="G206" s="3" t="s">
        <v>642</v>
      </c>
      <c r="H206" s="3" t="s">
        <v>643</v>
      </c>
      <c r="I206" s="3" t="s">
        <v>644</v>
      </c>
      <c r="J206" s="3">
        <v>14.878888888888889</v>
      </c>
      <c r="K206" s="3" t="s">
        <v>645</v>
      </c>
      <c r="L206" s="3">
        <v>61.099444444444444</v>
      </c>
      <c r="M206" s="3" t="s">
        <v>812</v>
      </c>
      <c r="N206" s="4">
        <v>333</v>
      </c>
      <c r="O206" s="5">
        <v>43123</v>
      </c>
      <c r="P206" s="5">
        <v>43130</v>
      </c>
      <c r="Q206" s="3" t="s">
        <v>136</v>
      </c>
      <c r="R206" s="3" t="s">
        <v>41</v>
      </c>
      <c r="S206" s="3" t="s">
        <v>766</v>
      </c>
      <c r="T206" s="4">
        <v>0</v>
      </c>
      <c r="U206" s="4">
        <v>4</v>
      </c>
      <c r="V206" s="4">
        <v>0</v>
      </c>
      <c r="W206" s="3" t="s">
        <v>647</v>
      </c>
      <c r="X206" s="3" t="s">
        <v>43</v>
      </c>
    </row>
    <row r="207" spans="1:24" ht="12.9" customHeight="1" x14ac:dyDescent="0.3">
      <c r="A207" s="3" t="s">
        <v>637</v>
      </c>
      <c r="B207" s="4">
        <v>13794</v>
      </c>
      <c r="C207" s="3" t="s">
        <v>745</v>
      </c>
      <c r="D207" s="3" t="s">
        <v>639</v>
      </c>
      <c r="E207" s="3" t="s">
        <v>640</v>
      </c>
      <c r="F207" s="3" t="s">
        <v>700</v>
      </c>
      <c r="G207" s="3" t="s">
        <v>642</v>
      </c>
      <c r="H207" s="3" t="s">
        <v>701</v>
      </c>
      <c r="I207" s="3" t="s">
        <v>702</v>
      </c>
      <c r="J207" s="3">
        <v>14.795</v>
      </c>
      <c r="K207" s="3" t="s">
        <v>797</v>
      </c>
      <c r="L207" s="3">
        <v>61.194166666666668</v>
      </c>
      <c r="M207" s="3" t="s">
        <v>828</v>
      </c>
      <c r="N207" s="4">
        <v>453</v>
      </c>
      <c r="O207" s="5">
        <v>43126</v>
      </c>
      <c r="P207" s="5">
        <v>43133</v>
      </c>
      <c r="Q207" s="3" t="s">
        <v>136</v>
      </c>
      <c r="R207" s="3" t="s">
        <v>41</v>
      </c>
      <c r="S207" s="3" t="s">
        <v>766</v>
      </c>
      <c r="T207" s="4">
        <v>0</v>
      </c>
      <c r="U207" s="4">
        <v>1</v>
      </c>
      <c r="V207" s="4">
        <v>0</v>
      </c>
      <c r="W207" s="3" t="s">
        <v>647</v>
      </c>
      <c r="X207" s="3" t="s">
        <v>43</v>
      </c>
    </row>
    <row r="208" spans="1:24" ht="12.9" customHeight="1" x14ac:dyDescent="0.3">
      <c r="A208" s="3" t="s">
        <v>637</v>
      </c>
      <c r="B208" s="4">
        <v>13795</v>
      </c>
      <c r="C208" s="3" t="s">
        <v>710</v>
      </c>
      <c r="D208" s="3" t="s">
        <v>639</v>
      </c>
      <c r="E208" s="3" t="s">
        <v>640</v>
      </c>
      <c r="F208" s="3" t="s">
        <v>662</v>
      </c>
      <c r="G208" s="3" t="s">
        <v>642</v>
      </c>
      <c r="H208" s="3" t="s">
        <v>711</v>
      </c>
      <c r="I208" s="3" t="s">
        <v>702</v>
      </c>
      <c r="J208" s="3">
        <v>14.759166666666667</v>
      </c>
      <c r="K208" s="3" t="s">
        <v>799</v>
      </c>
      <c r="L208" s="3">
        <v>61.213333333333331</v>
      </c>
      <c r="M208" s="3" t="s">
        <v>830</v>
      </c>
      <c r="N208" s="4">
        <v>486</v>
      </c>
      <c r="O208" s="5">
        <v>43126</v>
      </c>
      <c r="P208" s="5">
        <v>43133</v>
      </c>
      <c r="Q208" s="3" t="s">
        <v>136</v>
      </c>
      <c r="R208" s="3" t="s">
        <v>41</v>
      </c>
      <c r="S208" s="3" t="s">
        <v>766</v>
      </c>
      <c r="T208" s="4">
        <v>0</v>
      </c>
      <c r="U208" s="4">
        <v>1</v>
      </c>
      <c r="V208" s="4">
        <v>0</v>
      </c>
      <c r="W208" s="3" t="s">
        <v>647</v>
      </c>
      <c r="X208" s="3" t="s">
        <v>43</v>
      </c>
    </row>
    <row r="209" spans="1:24" ht="12.9" customHeight="1" x14ac:dyDescent="0.3">
      <c r="A209" s="3" t="s">
        <v>637</v>
      </c>
      <c r="B209" s="4">
        <v>13796</v>
      </c>
      <c r="C209" s="3" t="s">
        <v>665</v>
      </c>
      <c r="D209" s="3" t="s">
        <v>639</v>
      </c>
      <c r="E209" s="3" t="s">
        <v>640</v>
      </c>
      <c r="F209" s="3" t="s">
        <v>666</v>
      </c>
      <c r="G209" s="3" t="s">
        <v>642</v>
      </c>
      <c r="H209" s="3" t="s">
        <v>667</v>
      </c>
      <c r="I209" s="3" t="s">
        <v>644</v>
      </c>
      <c r="J209" s="3">
        <v>14.731666666666667</v>
      </c>
      <c r="K209" s="3" t="s">
        <v>787</v>
      </c>
      <c r="L209" s="3">
        <v>61.205833333333331</v>
      </c>
      <c r="M209" s="3" t="s">
        <v>818</v>
      </c>
      <c r="N209" s="4">
        <v>554</v>
      </c>
      <c r="O209" s="5">
        <v>43122</v>
      </c>
      <c r="P209" s="5">
        <v>43129</v>
      </c>
      <c r="Q209" s="3" t="s">
        <v>131</v>
      </c>
      <c r="R209" s="3" t="s">
        <v>668</v>
      </c>
      <c r="S209" s="3" t="s">
        <v>766</v>
      </c>
      <c r="T209" s="4">
        <v>0</v>
      </c>
      <c r="U209" s="4">
        <v>9</v>
      </c>
      <c r="V209" s="4">
        <v>0</v>
      </c>
      <c r="W209" s="3" t="s">
        <v>647</v>
      </c>
      <c r="X209" s="3" t="s">
        <v>43</v>
      </c>
    </row>
    <row r="210" spans="1:24" ht="12.9" customHeight="1" x14ac:dyDescent="0.3">
      <c r="A210" s="3" t="s">
        <v>637</v>
      </c>
      <c r="B210" s="4">
        <v>13797</v>
      </c>
      <c r="C210" s="3" t="s">
        <v>670</v>
      </c>
      <c r="D210" s="3" t="s">
        <v>639</v>
      </c>
      <c r="E210" s="3" t="s">
        <v>640</v>
      </c>
      <c r="F210" s="3" t="s">
        <v>666</v>
      </c>
      <c r="G210" s="3" t="s">
        <v>642</v>
      </c>
      <c r="H210" s="3" t="s">
        <v>671</v>
      </c>
      <c r="I210" s="3" t="s">
        <v>644</v>
      </c>
      <c r="J210" s="3">
        <v>14.7425</v>
      </c>
      <c r="K210" s="3" t="s">
        <v>788</v>
      </c>
      <c r="L210" s="3">
        <v>61.215555555555554</v>
      </c>
      <c r="M210" s="3" t="s">
        <v>819</v>
      </c>
      <c r="N210" s="4">
        <v>599</v>
      </c>
      <c r="O210" s="5">
        <v>43122</v>
      </c>
      <c r="P210" s="5">
        <v>43129</v>
      </c>
      <c r="Q210" s="3" t="s">
        <v>136</v>
      </c>
      <c r="R210" s="3" t="s">
        <v>668</v>
      </c>
      <c r="S210" s="3" t="s">
        <v>766</v>
      </c>
      <c r="T210" s="4">
        <v>0</v>
      </c>
      <c r="U210" s="4">
        <v>1</v>
      </c>
      <c r="V210" s="4">
        <v>0</v>
      </c>
      <c r="W210" s="3" t="s">
        <v>647</v>
      </c>
      <c r="X210" s="3" t="s">
        <v>43</v>
      </c>
    </row>
    <row r="211" spans="1:24" ht="12.9" customHeight="1" x14ac:dyDescent="0.3">
      <c r="A211" s="3" t="s">
        <v>637</v>
      </c>
      <c r="B211" s="4">
        <v>13798</v>
      </c>
      <c r="C211" s="3" t="s">
        <v>703</v>
      </c>
      <c r="D211" s="3" t="s">
        <v>639</v>
      </c>
      <c r="E211" s="3" t="s">
        <v>640</v>
      </c>
      <c r="F211" s="3" t="s">
        <v>673</v>
      </c>
      <c r="G211" s="3" t="s">
        <v>642</v>
      </c>
      <c r="H211" s="3" t="s">
        <v>674</v>
      </c>
      <c r="I211" s="3" t="s">
        <v>664</v>
      </c>
      <c r="J211" s="3">
        <v>14.820833333333333</v>
      </c>
      <c r="K211" s="3" t="s">
        <v>789</v>
      </c>
      <c r="L211" s="3">
        <v>61.136666666666663</v>
      </c>
      <c r="M211" s="3" t="s">
        <v>820</v>
      </c>
      <c r="N211" s="4">
        <v>524</v>
      </c>
      <c r="O211" s="5">
        <v>43124</v>
      </c>
      <c r="P211" s="5">
        <v>43131</v>
      </c>
      <c r="Q211" s="3" t="s">
        <v>131</v>
      </c>
      <c r="R211" s="3" t="s">
        <v>41</v>
      </c>
      <c r="S211" s="3" t="s">
        <v>766</v>
      </c>
      <c r="T211" s="4">
        <v>0</v>
      </c>
      <c r="U211" s="4">
        <v>12</v>
      </c>
      <c r="V211" s="4">
        <v>0</v>
      </c>
      <c r="W211" s="3" t="s">
        <v>647</v>
      </c>
      <c r="X211" s="3" t="s">
        <v>43</v>
      </c>
    </row>
    <row r="212" spans="1:24" ht="12.9" customHeight="1" x14ac:dyDescent="0.3">
      <c r="A212" s="3" t="s">
        <v>637</v>
      </c>
      <c r="B212" s="4">
        <v>13799</v>
      </c>
      <c r="C212" s="3" t="s">
        <v>704</v>
      </c>
      <c r="D212" s="3" t="s">
        <v>639</v>
      </c>
      <c r="E212" s="3" t="s">
        <v>640</v>
      </c>
      <c r="F212" s="3" t="s">
        <v>673</v>
      </c>
      <c r="G212" s="3" t="s">
        <v>642</v>
      </c>
      <c r="H212" s="3" t="s">
        <v>674</v>
      </c>
      <c r="I212" s="3" t="s">
        <v>664</v>
      </c>
      <c r="J212" s="3">
        <v>14.820833333333333</v>
      </c>
      <c r="K212" s="3" t="s">
        <v>789</v>
      </c>
      <c r="L212" s="3">
        <v>61.136666666666663</v>
      </c>
      <c r="M212" s="3" t="s">
        <v>820</v>
      </c>
      <c r="N212" s="4">
        <v>524</v>
      </c>
      <c r="O212" s="5">
        <v>43124</v>
      </c>
      <c r="P212" s="5">
        <v>43131</v>
      </c>
      <c r="Q212" s="3" t="s">
        <v>128</v>
      </c>
      <c r="R212" s="3" t="s">
        <v>41</v>
      </c>
      <c r="S212" s="3" t="s">
        <v>766</v>
      </c>
      <c r="T212" s="4">
        <v>0</v>
      </c>
      <c r="U212" s="4">
        <v>1</v>
      </c>
      <c r="V212" s="4">
        <v>0</v>
      </c>
      <c r="W212" s="3" t="s">
        <v>647</v>
      </c>
      <c r="X212" s="3" t="s">
        <v>43</v>
      </c>
    </row>
    <row r="213" spans="1:24" ht="12.9" customHeight="1" x14ac:dyDescent="0.3">
      <c r="A213" s="3" t="s">
        <v>637</v>
      </c>
      <c r="B213" s="4">
        <v>13800</v>
      </c>
      <c r="C213" s="3" t="s">
        <v>688</v>
      </c>
      <c r="D213" s="3" t="s">
        <v>639</v>
      </c>
      <c r="E213" s="3" t="s">
        <v>640</v>
      </c>
      <c r="F213" s="3" t="s">
        <v>681</v>
      </c>
      <c r="G213" s="3" t="s">
        <v>642</v>
      </c>
      <c r="H213" s="3" t="s">
        <v>33</v>
      </c>
      <c r="I213" s="3" t="s">
        <v>689</v>
      </c>
      <c r="J213" s="3">
        <v>15.914999999999999</v>
      </c>
      <c r="K213" s="3" t="s">
        <v>794</v>
      </c>
      <c r="L213" s="3">
        <v>61.244722222222222</v>
      </c>
      <c r="M213" s="3" t="s">
        <v>825</v>
      </c>
      <c r="N213" s="4">
        <v>630</v>
      </c>
      <c r="O213" s="6"/>
      <c r="P213" s="5">
        <v>43132</v>
      </c>
      <c r="Q213" s="3" t="s">
        <v>690</v>
      </c>
      <c r="R213" s="3" t="s">
        <v>41</v>
      </c>
      <c r="S213" s="3" t="s">
        <v>767</v>
      </c>
      <c r="T213" s="4">
        <v>1</v>
      </c>
      <c r="U213" s="4">
        <v>1</v>
      </c>
      <c r="V213" s="4">
        <v>0</v>
      </c>
      <c r="W213" s="3" t="s">
        <v>647</v>
      </c>
      <c r="X213" s="3" t="s">
        <v>43</v>
      </c>
    </row>
    <row r="214" spans="1:24" ht="12.9" customHeight="1" x14ac:dyDescent="0.3">
      <c r="A214" s="3" t="s">
        <v>637</v>
      </c>
      <c r="B214" s="4">
        <v>13801</v>
      </c>
      <c r="C214" s="3" t="s">
        <v>729</v>
      </c>
      <c r="D214" s="3" t="s">
        <v>639</v>
      </c>
      <c r="E214" s="3" t="s">
        <v>640</v>
      </c>
      <c r="F214" s="3" t="s">
        <v>730</v>
      </c>
      <c r="G214" s="3" t="s">
        <v>642</v>
      </c>
      <c r="H214" s="3" t="s">
        <v>731</v>
      </c>
      <c r="I214" s="3" t="s">
        <v>683</v>
      </c>
      <c r="J214" s="3">
        <v>14.853333333333333</v>
      </c>
      <c r="K214" s="3" t="s">
        <v>804</v>
      </c>
      <c r="L214" s="3">
        <v>61.202222222222225</v>
      </c>
      <c r="M214" s="3" t="s">
        <v>834</v>
      </c>
      <c r="N214" s="4">
        <v>260</v>
      </c>
      <c r="O214" s="5">
        <v>43127</v>
      </c>
      <c r="P214" s="5">
        <v>43134</v>
      </c>
      <c r="Q214" s="3" t="s">
        <v>131</v>
      </c>
      <c r="R214" s="3" t="s">
        <v>41</v>
      </c>
      <c r="S214" s="3" t="s">
        <v>767</v>
      </c>
      <c r="T214" s="4">
        <v>103</v>
      </c>
      <c r="U214" s="4">
        <v>53</v>
      </c>
      <c r="V214" s="4">
        <v>0</v>
      </c>
      <c r="W214" s="3" t="s">
        <v>647</v>
      </c>
      <c r="X214" s="3" t="s">
        <v>43</v>
      </c>
    </row>
    <row r="215" spans="1:24" ht="12.9" customHeight="1" x14ac:dyDescent="0.3">
      <c r="A215" s="3" t="s">
        <v>637</v>
      </c>
      <c r="B215" s="4">
        <v>13802</v>
      </c>
      <c r="C215" s="3" t="s">
        <v>729</v>
      </c>
      <c r="D215" s="3" t="s">
        <v>639</v>
      </c>
      <c r="E215" s="3" t="s">
        <v>640</v>
      </c>
      <c r="F215" s="3" t="s">
        <v>730</v>
      </c>
      <c r="G215" s="3" t="s">
        <v>642</v>
      </c>
      <c r="H215" s="3" t="s">
        <v>731</v>
      </c>
      <c r="I215" s="3" t="s">
        <v>683</v>
      </c>
      <c r="J215" s="3">
        <v>14.853333333333333</v>
      </c>
      <c r="K215" s="3" t="s">
        <v>804</v>
      </c>
      <c r="L215" s="3">
        <v>61.202222222222225</v>
      </c>
      <c r="M215" s="3" t="s">
        <v>834</v>
      </c>
      <c r="N215" s="4">
        <v>260</v>
      </c>
      <c r="O215" s="5">
        <v>43127</v>
      </c>
      <c r="P215" s="5">
        <v>43134</v>
      </c>
      <c r="Q215" s="3" t="s">
        <v>131</v>
      </c>
      <c r="R215" s="3" t="s">
        <v>41</v>
      </c>
      <c r="S215" s="3" t="s">
        <v>767</v>
      </c>
      <c r="T215" s="4">
        <v>0</v>
      </c>
      <c r="U215" s="4">
        <v>0</v>
      </c>
      <c r="V215" s="4">
        <v>400</v>
      </c>
      <c r="W215" s="3" t="s">
        <v>647</v>
      </c>
      <c r="X215" s="3" t="s">
        <v>43</v>
      </c>
    </row>
    <row r="216" spans="1:24" ht="12.9" customHeight="1" x14ac:dyDescent="0.3">
      <c r="A216" s="3" t="s">
        <v>637</v>
      </c>
      <c r="B216" s="4">
        <v>13803</v>
      </c>
      <c r="C216" s="3" t="s">
        <v>733</v>
      </c>
      <c r="D216" s="3" t="s">
        <v>639</v>
      </c>
      <c r="E216" s="3" t="s">
        <v>640</v>
      </c>
      <c r="F216" s="3" t="s">
        <v>730</v>
      </c>
      <c r="G216" s="3" t="s">
        <v>642</v>
      </c>
      <c r="H216" s="3" t="s">
        <v>731</v>
      </c>
      <c r="I216" s="3" t="s">
        <v>683</v>
      </c>
      <c r="J216" s="3">
        <v>14.853333333333333</v>
      </c>
      <c r="K216" s="3" t="s">
        <v>804</v>
      </c>
      <c r="L216" s="3">
        <v>61.202222222222225</v>
      </c>
      <c r="M216" s="3" t="s">
        <v>834</v>
      </c>
      <c r="N216" s="4">
        <v>260</v>
      </c>
      <c r="O216" s="5">
        <v>43127</v>
      </c>
      <c r="P216" s="5">
        <v>43134</v>
      </c>
      <c r="Q216" s="3" t="s">
        <v>128</v>
      </c>
      <c r="R216" s="3" t="s">
        <v>41</v>
      </c>
      <c r="S216" s="3" t="s">
        <v>767</v>
      </c>
      <c r="T216" s="4">
        <v>139</v>
      </c>
      <c r="U216" s="4">
        <v>74</v>
      </c>
      <c r="V216" s="4">
        <v>0</v>
      </c>
      <c r="W216" s="3" t="s">
        <v>647</v>
      </c>
      <c r="X216" s="3" t="s">
        <v>43</v>
      </c>
    </row>
    <row r="217" spans="1:24" ht="12.9" customHeight="1" x14ac:dyDescent="0.3">
      <c r="A217" s="3" t="s">
        <v>637</v>
      </c>
      <c r="B217" s="4">
        <v>13804</v>
      </c>
      <c r="C217" s="3" t="s">
        <v>733</v>
      </c>
      <c r="D217" s="3" t="s">
        <v>639</v>
      </c>
      <c r="E217" s="3" t="s">
        <v>640</v>
      </c>
      <c r="F217" s="3" t="s">
        <v>730</v>
      </c>
      <c r="G217" s="3" t="s">
        <v>642</v>
      </c>
      <c r="H217" s="3" t="s">
        <v>731</v>
      </c>
      <c r="I217" s="3" t="s">
        <v>683</v>
      </c>
      <c r="J217" s="3">
        <v>14.853333333333333</v>
      </c>
      <c r="K217" s="3" t="s">
        <v>804</v>
      </c>
      <c r="L217" s="3">
        <v>61.202222222222225</v>
      </c>
      <c r="M217" s="3" t="s">
        <v>834</v>
      </c>
      <c r="N217" s="4">
        <v>260</v>
      </c>
      <c r="O217" s="5">
        <v>43127</v>
      </c>
      <c r="P217" s="5">
        <v>43134</v>
      </c>
      <c r="Q217" s="3" t="s">
        <v>128</v>
      </c>
      <c r="R217" s="3" t="s">
        <v>41</v>
      </c>
      <c r="S217" s="3" t="s">
        <v>767</v>
      </c>
      <c r="T217" s="4">
        <v>0</v>
      </c>
      <c r="U217" s="4">
        <v>0</v>
      </c>
      <c r="V217" s="4">
        <v>413</v>
      </c>
      <c r="W217" s="3" t="s">
        <v>647</v>
      </c>
      <c r="X217" s="3" t="s">
        <v>43</v>
      </c>
    </row>
    <row r="218" spans="1:24" ht="12.9" customHeight="1" x14ac:dyDescent="0.3">
      <c r="A218" s="3" t="s">
        <v>637</v>
      </c>
      <c r="B218" s="4">
        <v>13805</v>
      </c>
      <c r="C218" s="3" t="s">
        <v>734</v>
      </c>
      <c r="D218" s="3" t="s">
        <v>639</v>
      </c>
      <c r="E218" s="3" t="s">
        <v>640</v>
      </c>
      <c r="F218" s="3" t="s">
        <v>730</v>
      </c>
      <c r="G218" s="3" t="s">
        <v>642</v>
      </c>
      <c r="H218" s="3" t="s">
        <v>731</v>
      </c>
      <c r="I218" s="3" t="s">
        <v>683</v>
      </c>
      <c r="J218" s="3">
        <v>14.853333333333333</v>
      </c>
      <c r="K218" s="3" t="s">
        <v>804</v>
      </c>
      <c r="L218" s="3">
        <v>61.202222222222225</v>
      </c>
      <c r="M218" s="3" t="s">
        <v>834</v>
      </c>
      <c r="N218" s="4">
        <v>260</v>
      </c>
      <c r="O218" s="5">
        <v>43127</v>
      </c>
      <c r="P218" s="5">
        <v>43134</v>
      </c>
      <c r="Q218" s="3" t="s">
        <v>136</v>
      </c>
      <c r="R218" s="3" t="s">
        <v>41</v>
      </c>
      <c r="S218" s="3" t="s">
        <v>767</v>
      </c>
      <c r="T218" s="4">
        <v>121</v>
      </c>
      <c r="U218" s="4">
        <v>64</v>
      </c>
      <c r="V218" s="4">
        <v>0</v>
      </c>
      <c r="W218" s="3" t="s">
        <v>647</v>
      </c>
      <c r="X218" s="3" t="s">
        <v>43</v>
      </c>
    </row>
    <row r="219" spans="1:24" ht="12.9" customHeight="1" x14ac:dyDescent="0.3">
      <c r="A219" s="3" t="s">
        <v>637</v>
      </c>
      <c r="B219" s="4">
        <v>13806</v>
      </c>
      <c r="C219" s="3" t="s">
        <v>734</v>
      </c>
      <c r="D219" s="3" t="s">
        <v>639</v>
      </c>
      <c r="E219" s="3" t="s">
        <v>640</v>
      </c>
      <c r="F219" s="3" t="s">
        <v>730</v>
      </c>
      <c r="G219" s="3" t="s">
        <v>642</v>
      </c>
      <c r="H219" s="3" t="s">
        <v>731</v>
      </c>
      <c r="I219" s="3" t="s">
        <v>683</v>
      </c>
      <c r="J219" s="3">
        <v>14.853333333333333</v>
      </c>
      <c r="K219" s="3" t="s">
        <v>804</v>
      </c>
      <c r="L219" s="3">
        <v>61.202222222222225</v>
      </c>
      <c r="M219" s="3" t="s">
        <v>834</v>
      </c>
      <c r="N219" s="4">
        <v>260</v>
      </c>
      <c r="O219" s="5">
        <v>43127</v>
      </c>
      <c r="P219" s="5">
        <v>43134</v>
      </c>
      <c r="Q219" s="3" t="s">
        <v>136</v>
      </c>
      <c r="R219" s="3" t="s">
        <v>41</v>
      </c>
      <c r="S219" s="3" t="s">
        <v>767</v>
      </c>
      <c r="T219" s="4">
        <v>292</v>
      </c>
      <c r="U219" s="4">
        <v>170</v>
      </c>
      <c r="V219" s="4">
        <v>0</v>
      </c>
      <c r="W219" s="3" t="s">
        <v>647</v>
      </c>
      <c r="X219" s="3" t="s">
        <v>43</v>
      </c>
    </row>
    <row r="220" spans="1:24" ht="12.9" customHeight="1" x14ac:dyDescent="0.3">
      <c r="A220" s="3" t="s">
        <v>637</v>
      </c>
      <c r="B220" s="4">
        <v>13807</v>
      </c>
      <c r="C220" s="3" t="s">
        <v>735</v>
      </c>
      <c r="D220" s="3" t="s">
        <v>639</v>
      </c>
      <c r="E220" s="3" t="s">
        <v>640</v>
      </c>
      <c r="F220" s="3" t="s">
        <v>730</v>
      </c>
      <c r="G220" s="3" t="s">
        <v>642</v>
      </c>
      <c r="H220" s="3" t="s">
        <v>736</v>
      </c>
      <c r="I220" s="3" t="s">
        <v>737</v>
      </c>
      <c r="J220" s="3">
        <v>14.848333333333333</v>
      </c>
      <c r="K220" s="3" t="s">
        <v>805</v>
      </c>
      <c r="L220" s="3">
        <v>61.192500000000003</v>
      </c>
      <c r="M220" s="3" t="s">
        <v>835</v>
      </c>
      <c r="N220" s="4">
        <v>260</v>
      </c>
      <c r="O220" s="5">
        <v>43127</v>
      </c>
      <c r="P220" s="5">
        <v>43134</v>
      </c>
      <c r="Q220" s="3" t="s">
        <v>136</v>
      </c>
      <c r="R220" s="3" t="s">
        <v>41</v>
      </c>
      <c r="S220" s="3" t="s">
        <v>767</v>
      </c>
      <c r="T220" s="4">
        <v>108</v>
      </c>
      <c r="U220" s="4">
        <v>51</v>
      </c>
      <c r="V220" s="4">
        <v>0</v>
      </c>
      <c r="W220" s="3" t="s">
        <v>647</v>
      </c>
      <c r="X220" s="3" t="s">
        <v>43</v>
      </c>
    </row>
    <row r="221" spans="1:24" ht="12.9" customHeight="1" x14ac:dyDescent="0.3">
      <c r="A221" s="3" t="s">
        <v>637</v>
      </c>
      <c r="B221" s="4">
        <v>13808</v>
      </c>
      <c r="C221" s="3" t="s">
        <v>735</v>
      </c>
      <c r="D221" s="3" t="s">
        <v>639</v>
      </c>
      <c r="E221" s="3" t="s">
        <v>640</v>
      </c>
      <c r="F221" s="3" t="s">
        <v>730</v>
      </c>
      <c r="G221" s="3" t="s">
        <v>642</v>
      </c>
      <c r="H221" s="3" t="s">
        <v>736</v>
      </c>
      <c r="I221" s="3" t="s">
        <v>737</v>
      </c>
      <c r="J221" s="3">
        <v>14.848333333333333</v>
      </c>
      <c r="K221" s="3" t="s">
        <v>805</v>
      </c>
      <c r="L221" s="3">
        <v>61.192500000000003</v>
      </c>
      <c r="M221" s="3" t="s">
        <v>835</v>
      </c>
      <c r="N221" s="4">
        <v>260</v>
      </c>
      <c r="O221" s="5">
        <v>43127</v>
      </c>
      <c r="P221" s="5">
        <v>43134</v>
      </c>
      <c r="Q221" s="3" t="s">
        <v>136</v>
      </c>
      <c r="R221" s="3" t="s">
        <v>41</v>
      </c>
      <c r="S221" s="3" t="s">
        <v>767</v>
      </c>
      <c r="T221" s="4">
        <v>618</v>
      </c>
      <c r="U221" s="4">
        <v>301</v>
      </c>
      <c r="V221" s="4">
        <v>0</v>
      </c>
      <c r="W221" s="3" t="s">
        <v>647</v>
      </c>
      <c r="X221" s="3" t="s">
        <v>43</v>
      </c>
    </row>
    <row r="222" spans="1:24" ht="12.9" customHeight="1" x14ac:dyDescent="0.3">
      <c r="A222" s="3" t="s">
        <v>637</v>
      </c>
      <c r="B222" s="4">
        <v>13809</v>
      </c>
      <c r="C222" s="3" t="s">
        <v>768</v>
      </c>
      <c r="D222" s="3" t="s">
        <v>639</v>
      </c>
      <c r="E222" s="3" t="s">
        <v>640</v>
      </c>
      <c r="F222" s="3" t="s">
        <v>730</v>
      </c>
      <c r="G222" s="3" t="s">
        <v>642</v>
      </c>
      <c r="H222" s="3" t="s">
        <v>769</v>
      </c>
      <c r="I222" s="3" t="s">
        <v>737</v>
      </c>
      <c r="J222" s="3">
        <v>14.875833333333333</v>
      </c>
      <c r="K222" s="3" t="s">
        <v>810</v>
      </c>
      <c r="L222" s="3">
        <v>61.146666666666668</v>
      </c>
      <c r="M222" s="3" t="s">
        <v>840</v>
      </c>
      <c r="N222" s="4">
        <v>211</v>
      </c>
      <c r="O222" s="5">
        <v>43127</v>
      </c>
      <c r="P222" s="5">
        <v>43134</v>
      </c>
      <c r="Q222" s="3" t="s">
        <v>136</v>
      </c>
      <c r="R222" s="3" t="s">
        <v>41</v>
      </c>
      <c r="S222" s="3" t="s">
        <v>767</v>
      </c>
      <c r="T222" s="4">
        <v>110</v>
      </c>
      <c r="U222" s="4">
        <v>63</v>
      </c>
      <c r="V222" s="4">
        <v>0</v>
      </c>
      <c r="W222" s="3" t="s">
        <v>647</v>
      </c>
      <c r="X222" s="3" t="s">
        <v>43</v>
      </c>
    </row>
    <row r="223" spans="1:24" ht="12.9" customHeight="1" x14ac:dyDescent="0.3">
      <c r="A223" s="3" t="s">
        <v>637</v>
      </c>
      <c r="B223" s="4">
        <v>13810</v>
      </c>
      <c r="C223" s="3" t="s">
        <v>768</v>
      </c>
      <c r="D223" s="3" t="s">
        <v>639</v>
      </c>
      <c r="E223" s="3" t="s">
        <v>640</v>
      </c>
      <c r="F223" s="3" t="s">
        <v>730</v>
      </c>
      <c r="G223" s="3" t="s">
        <v>642</v>
      </c>
      <c r="H223" s="3" t="s">
        <v>769</v>
      </c>
      <c r="I223" s="3" t="s">
        <v>737</v>
      </c>
      <c r="J223" s="3">
        <v>14.875833333333333</v>
      </c>
      <c r="K223" s="3" t="s">
        <v>810</v>
      </c>
      <c r="L223" s="3">
        <v>61.146666666666668</v>
      </c>
      <c r="M223" s="3" t="s">
        <v>840</v>
      </c>
      <c r="N223" s="4">
        <v>211</v>
      </c>
      <c r="O223" s="5">
        <v>43127</v>
      </c>
      <c r="P223" s="5">
        <v>43134</v>
      </c>
      <c r="Q223" s="3" t="s">
        <v>136</v>
      </c>
      <c r="R223" s="3" t="s">
        <v>41</v>
      </c>
      <c r="S223" s="3" t="s">
        <v>767</v>
      </c>
      <c r="T223" s="4">
        <v>213</v>
      </c>
      <c r="U223" s="4">
        <v>129</v>
      </c>
      <c r="V223" s="4">
        <v>0</v>
      </c>
      <c r="W223" s="3" t="s">
        <v>647</v>
      </c>
      <c r="X223" s="3" t="s">
        <v>43</v>
      </c>
    </row>
    <row r="224" spans="1:24" ht="12.9" customHeight="1" x14ac:dyDescent="0.3">
      <c r="A224" s="3" t="s">
        <v>637</v>
      </c>
      <c r="B224" s="4">
        <v>13811</v>
      </c>
      <c r="C224" s="3" t="s">
        <v>708</v>
      </c>
      <c r="D224" s="3" t="s">
        <v>639</v>
      </c>
      <c r="E224" s="3" t="s">
        <v>640</v>
      </c>
      <c r="F224" s="3" t="s">
        <v>649</v>
      </c>
      <c r="G224" s="3" t="s">
        <v>642</v>
      </c>
      <c r="H224" s="3" t="s">
        <v>650</v>
      </c>
      <c r="I224" s="3" t="s">
        <v>651</v>
      </c>
      <c r="J224" s="3">
        <v>14.740833333333333</v>
      </c>
      <c r="K224" s="3" t="s">
        <v>782</v>
      </c>
      <c r="L224" s="3">
        <v>61.101666666666667</v>
      </c>
      <c r="M224" s="3" t="s">
        <v>813</v>
      </c>
      <c r="N224" s="4">
        <v>658</v>
      </c>
      <c r="O224" s="5">
        <v>43133</v>
      </c>
      <c r="P224" s="5">
        <v>43140</v>
      </c>
      <c r="Q224" s="3" t="s">
        <v>131</v>
      </c>
      <c r="R224" s="3" t="s">
        <v>41</v>
      </c>
      <c r="S224" s="3" t="s">
        <v>767</v>
      </c>
      <c r="T224" s="4">
        <v>0</v>
      </c>
      <c r="U224" s="4">
        <v>0</v>
      </c>
      <c r="V224" s="4">
        <v>241</v>
      </c>
      <c r="W224" s="3" t="s">
        <v>647</v>
      </c>
      <c r="X224" s="3" t="s">
        <v>43</v>
      </c>
    </row>
    <row r="225" spans="1:24" ht="12.9" customHeight="1" x14ac:dyDescent="0.3">
      <c r="A225" s="3" t="s">
        <v>637</v>
      </c>
      <c r="B225" s="4">
        <v>13812</v>
      </c>
      <c r="C225" s="3" t="s">
        <v>648</v>
      </c>
      <c r="D225" s="3" t="s">
        <v>639</v>
      </c>
      <c r="E225" s="3" t="s">
        <v>640</v>
      </c>
      <c r="F225" s="3" t="s">
        <v>649</v>
      </c>
      <c r="G225" s="3" t="s">
        <v>642</v>
      </c>
      <c r="H225" s="3" t="s">
        <v>650</v>
      </c>
      <c r="I225" s="3" t="s">
        <v>651</v>
      </c>
      <c r="J225" s="3">
        <v>14.740833333333333</v>
      </c>
      <c r="K225" s="3" t="s">
        <v>782</v>
      </c>
      <c r="L225" s="3">
        <v>61.101666666666667</v>
      </c>
      <c r="M225" s="3" t="s">
        <v>813</v>
      </c>
      <c r="N225" s="4">
        <v>658</v>
      </c>
      <c r="O225" s="5">
        <v>43133</v>
      </c>
      <c r="P225" s="5">
        <v>43140</v>
      </c>
      <c r="Q225" s="3" t="s">
        <v>128</v>
      </c>
      <c r="R225" s="3" t="s">
        <v>41</v>
      </c>
      <c r="S225" s="3" t="s">
        <v>767</v>
      </c>
      <c r="T225" s="4">
        <v>0</v>
      </c>
      <c r="U225" s="4">
        <v>0</v>
      </c>
      <c r="V225" s="4">
        <v>138</v>
      </c>
      <c r="W225" s="3" t="s">
        <v>647</v>
      </c>
      <c r="X225" s="3" t="s">
        <v>43</v>
      </c>
    </row>
    <row r="226" spans="1:24" ht="12.9" customHeight="1" x14ac:dyDescent="0.3">
      <c r="A226" s="3" t="s">
        <v>637</v>
      </c>
      <c r="B226" s="4">
        <v>13813</v>
      </c>
      <c r="C226" s="3" t="s">
        <v>695</v>
      </c>
      <c r="D226" s="3" t="s">
        <v>639</v>
      </c>
      <c r="E226" s="3" t="s">
        <v>640</v>
      </c>
      <c r="F226" s="3" t="s">
        <v>649</v>
      </c>
      <c r="G226" s="3" t="s">
        <v>642</v>
      </c>
      <c r="H226" s="3" t="s">
        <v>650</v>
      </c>
      <c r="I226" s="3" t="s">
        <v>651</v>
      </c>
      <c r="J226" s="3">
        <v>14.740833333333333</v>
      </c>
      <c r="K226" s="3" t="s">
        <v>782</v>
      </c>
      <c r="L226" s="3">
        <v>61.101666666666667</v>
      </c>
      <c r="M226" s="3" t="s">
        <v>813</v>
      </c>
      <c r="N226" s="4">
        <v>658</v>
      </c>
      <c r="O226" s="5">
        <v>43133</v>
      </c>
      <c r="P226" s="5">
        <v>43140</v>
      </c>
      <c r="Q226" s="3" t="s">
        <v>136</v>
      </c>
      <c r="R226" s="3" t="s">
        <v>41</v>
      </c>
      <c r="S226" s="3" t="s">
        <v>767</v>
      </c>
      <c r="T226" s="4">
        <v>90</v>
      </c>
      <c r="U226" s="4">
        <v>57</v>
      </c>
      <c r="V226" s="4">
        <v>0</v>
      </c>
      <c r="W226" s="3" t="s">
        <v>647</v>
      </c>
      <c r="X226" s="3" t="s">
        <v>43</v>
      </c>
    </row>
    <row r="227" spans="1:24" ht="12.9" customHeight="1" x14ac:dyDescent="0.3">
      <c r="A227" s="3" t="s">
        <v>637</v>
      </c>
      <c r="B227" s="4">
        <v>13814</v>
      </c>
      <c r="C227" s="3" t="s">
        <v>695</v>
      </c>
      <c r="D227" s="3" t="s">
        <v>639</v>
      </c>
      <c r="E227" s="3" t="s">
        <v>640</v>
      </c>
      <c r="F227" s="3" t="s">
        <v>649</v>
      </c>
      <c r="G227" s="3" t="s">
        <v>642</v>
      </c>
      <c r="H227" s="3" t="s">
        <v>650</v>
      </c>
      <c r="I227" s="3" t="s">
        <v>651</v>
      </c>
      <c r="J227" s="3">
        <v>14.740833333333333</v>
      </c>
      <c r="K227" s="3" t="s">
        <v>782</v>
      </c>
      <c r="L227" s="3">
        <v>61.101666666666667</v>
      </c>
      <c r="M227" s="3" t="s">
        <v>813</v>
      </c>
      <c r="N227" s="4">
        <v>658</v>
      </c>
      <c r="O227" s="5">
        <v>43133</v>
      </c>
      <c r="P227" s="5">
        <v>43140</v>
      </c>
      <c r="Q227" s="3" t="s">
        <v>136</v>
      </c>
      <c r="R227" s="3" t="s">
        <v>41</v>
      </c>
      <c r="S227" s="3" t="s">
        <v>767</v>
      </c>
      <c r="T227" s="4">
        <v>343</v>
      </c>
      <c r="U227" s="4">
        <v>100</v>
      </c>
      <c r="V227" s="4">
        <v>0</v>
      </c>
      <c r="W227" s="3" t="s">
        <v>647</v>
      </c>
      <c r="X227" s="3" t="s">
        <v>43</v>
      </c>
    </row>
    <row r="228" spans="1:24" ht="12.9" customHeight="1" x14ac:dyDescent="0.3">
      <c r="A228" s="3" t="s">
        <v>637</v>
      </c>
      <c r="B228" s="4">
        <v>13815</v>
      </c>
      <c r="C228" s="3" t="s">
        <v>696</v>
      </c>
      <c r="D228" s="3" t="s">
        <v>639</v>
      </c>
      <c r="E228" s="3" t="s">
        <v>640</v>
      </c>
      <c r="F228" s="3" t="s">
        <v>649</v>
      </c>
      <c r="G228" s="3" t="s">
        <v>642</v>
      </c>
      <c r="H228" s="3" t="s">
        <v>697</v>
      </c>
      <c r="I228" s="3" t="s">
        <v>698</v>
      </c>
      <c r="J228" s="3">
        <v>14.741388888888888</v>
      </c>
      <c r="K228" s="3" t="s">
        <v>796</v>
      </c>
      <c r="L228" s="3">
        <v>61.101111111111109</v>
      </c>
      <c r="M228" s="3" t="s">
        <v>827</v>
      </c>
      <c r="N228" s="4">
        <v>657</v>
      </c>
      <c r="O228" s="5">
        <v>43133</v>
      </c>
      <c r="P228" s="5">
        <v>43140</v>
      </c>
      <c r="Q228" s="3" t="s">
        <v>136</v>
      </c>
      <c r="R228" s="3" t="s">
        <v>41</v>
      </c>
      <c r="S228" s="3" t="s">
        <v>767</v>
      </c>
      <c r="T228" s="4">
        <v>178</v>
      </c>
      <c r="U228" s="4">
        <v>37</v>
      </c>
      <c r="V228" s="4">
        <v>0</v>
      </c>
      <c r="W228" s="3" t="s">
        <v>647</v>
      </c>
      <c r="X228" s="3" t="s">
        <v>43</v>
      </c>
    </row>
    <row r="229" spans="1:24" ht="12.9" customHeight="1" x14ac:dyDescent="0.3">
      <c r="A229" s="3" t="s">
        <v>637</v>
      </c>
      <c r="B229" s="4">
        <v>13816</v>
      </c>
      <c r="C229" s="3" t="s">
        <v>720</v>
      </c>
      <c r="D229" s="3" t="s">
        <v>639</v>
      </c>
      <c r="E229" s="3" t="s">
        <v>640</v>
      </c>
      <c r="F229" s="3" t="s">
        <v>649</v>
      </c>
      <c r="G229" s="3" t="s">
        <v>642</v>
      </c>
      <c r="H229" s="3" t="s">
        <v>721</v>
      </c>
      <c r="I229" s="3" t="s">
        <v>722</v>
      </c>
      <c r="J229" s="3">
        <v>14.743333333333334</v>
      </c>
      <c r="K229" s="3" t="s">
        <v>802</v>
      </c>
      <c r="L229" s="3">
        <v>62.248888888888892</v>
      </c>
      <c r="M229" s="3" t="s">
        <v>832</v>
      </c>
      <c r="N229" s="4">
        <v>656</v>
      </c>
      <c r="O229" s="5">
        <v>43133</v>
      </c>
      <c r="P229" s="5">
        <v>43140</v>
      </c>
      <c r="Q229" s="3" t="s">
        <v>136</v>
      </c>
      <c r="R229" s="3" t="s">
        <v>41</v>
      </c>
      <c r="S229" s="3" t="s">
        <v>767</v>
      </c>
      <c r="T229" s="4">
        <v>47</v>
      </c>
      <c r="U229" s="4">
        <v>11</v>
      </c>
      <c r="V229" s="4">
        <v>0</v>
      </c>
      <c r="W229" s="3" t="s">
        <v>647</v>
      </c>
      <c r="X229" s="3" t="s">
        <v>43</v>
      </c>
    </row>
    <row r="230" spans="1:24" ht="12.9" customHeight="1" x14ac:dyDescent="0.3">
      <c r="A230" s="3" t="s">
        <v>637</v>
      </c>
      <c r="B230" s="4">
        <v>13817</v>
      </c>
      <c r="C230" s="3" t="s">
        <v>653</v>
      </c>
      <c r="D230" s="3" t="s">
        <v>639</v>
      </c>
      <c r="E230" s="3" t="s">
        <v>640</v>
      </c>
      <c r="F230" s="3" t="s">
        <v>654</v>
      </c>
      <c r="G230" s="3" t="s">
        <v>642</v>
      </c>
      <c r="H230" s="3" t="s">
        <v>655</v>
      </c>
      <c r="I230" s="3" t="s">
        <v>644</v>
      </c>
      <c r="J230" s="3">
        <v>14.89</v>
      </c>
      <c r="K230" s="3" t="s">
        <v>783</v>
      </c>
      <c r="L230" s="3">
        <v>61.095277777777781</v>
      </c>
      <c r="M230" s="3" t="s">
        <v>814</v>
      </c>
      <c r="N230" s="4">
        <v>357</v>
      </c>
      <c r="O230" s="5">
        <v>43123</v>
      </c>
      <c r="P230" s="5">
        <v>43130</v>
      </c>
      <c r="Q230" s="3" t="s">
        <v>131</v>
      </c>
      <c r="R230" s="3" t="s">
        <v>41</v>
      </c>
      <c r="S230" s="3" t="s">
        <v>767</v>
      </c>
      <c r="T230" s="4">
        <v>284</v>
      </c>
      <c r="U230" s="4">
        <v>91</v>
      </c>
      <c r="V230" s="4">
        <v>0</v>
      </c>
      <c r="W230" s="3" t="s">
        <v>647</v>
      </c>
      <c r="X230" s="3" t="s">
        <v>43</v>
      </c>
    </row>
    <row r="231" spans="1:24" ht="12.9" customHeight="1" x14ac:dyDescent="0.3">
      <c r="A231" s="3" t="s">
        <v>637</v>
      </c>
      <c r="B231" s="4">
        <v>13818</v>
      </c>
      <c r="C231" s="3" t="s">
        <v>738</v>
      </c>
      <c r="D231" s="3" t="s">
        <v>639</v>
      </c>
      <c r="E231" s="3" t="s">
        <v>640</v>
      </c>
      <c r="F231" s="3" t="s">
        <v>654</v>
      </c>
      <c r="G231" s="3" t="s">
        <v>642</v>
      </c>
      <c r="H231" s="3" t="s">
        <v>655</v>
      </c>
      <c r="I231" s="3" t="s">
        <v>644</v>
      </c>
      <c r="J231" s="3">
        <v>14.89</v>
      </c>
      <c r="K231" s="3" t="s">
        <v>783</v>
      </c>
      <c r="L231" s="3">
        <v>61.095277777777781</v>
      </c>
      <c r="M231" s="3" t="s">
        <v>814</v>
      </c>
      <c r="N231" s="4">
        <v>357</v>
      </c>
      <c r="O231" s="5">
        <v>43123</v>
      </c>
      <c r="P231" s="5">
        <v>43130</v>
      </c>
      <c r="Q231" s="3" t="s">
        <v>128</v>
      </c>
      <c r="R231" s="3" t="s">
        <v>41</v>
      </c>
      <c r="S231" s="3" t="s">
        <v>767</v>
      </c>
      <c r="T231" s="4">
        <v>328</v>
      </c>
      <c r="U231" s="4">
        <v>89</v>
      </c>
      <c r="V231" s="4">
        <v>0</v>
      </c>
      <c r="W231" s="3" t="s">
        <v>647</v>
      </c>
      <c r="X231" s="3" t="s">
        <v>43</v>
      </c>
    </row>
    <row r="232" spans="1:24" ht="12.9" customHeight="1" x14ac:dyDescent="0.3">
      <c r="A232" s="3" t="s">
        <v>637</v>
      </c>
      <c r="B232" s="4">
        <v>13819</v>
      </c>
      <c r="C232" s="3" t="s">
        <v>656</v>
      </c>
      <c r="D232" s="3" t="s">
        <v>639</v>
      </c>
      <c r="E232" s="3" t="s">
        <v>640</v>
      </c>
      <c r="F232" s="3" t="s">
        <v>654</v>
      </c>
      <c r="G232" s="3" t="s">
        <v>642</v>
      </c>
      <c r="H232" s="3" t="s">
        <v>657</v>
      </c>
      <c r="I232" s="3" t="s">
        <v>644</v>
      </c>
      <c r="J232" s="3">
        <v>14.892777777777777</v>
      </c>
      <c r="K232" s="3" t="s">
        <v>784</v>
      </c>
      <c r="L232" s="3">
        <v>61.101944444444442</v>
      </c>
      <c r="M232" s="3" t="s">
        <v>815</v>
      </c>
      <c r="N232" s="4">
        <v>374</v>
      </c>
      <c r="O232" s="5">
        <v>43123</v>
      </c>
      <c r="P232" s="5">
        <v>43130</v>
      </c>
      <c r="Q232" s="3" t="s">
        <v>136</v>
      </c>
      <c r="R232" s="3" t="s">
        <v>41</v>
      </c>
      <c r="S232" s="3" t="s">
        <v>767</v>
      </c>
      <c r="T232" s="4">
        <v>415</v>
      </c>
      <c r="U232" s="4">
        <v>120</v>
      </c>
      <c r="V232" s="4">
        <v>0</v>
      </c>
      <c r="W232" s="3" t="s">
        <v>647</v>
      </c>
      <c r="X232" s="3" t="s">
        <v>43</v>
      </c>
    </row>
    <row r="233" spans="1:24" ht="12.9" customHeight="1" x14ac:dyDescent="0.3">
      <c r="A233" s="3" t="s">
        <v>637</v>
      </c>
      <c r="B233" s="4">
        <v>13820</v>
      </c>
      <c r="C233" s="3" t="s">
        <v>739</v>
      </c>
      <c r="D233" s="3" t="s">
        <v>639</v>
      </c>
      <c r="E233" s="3" t="s">
        <v>640</v>
      </c>
      <c r="F233" s="3" t="s">
        <v>654</v>
      </c>
      <c r="G233" s="3" t="s">
        <v>642</v>
      </c>
      <c r="H233" s="3" t="s">
        <v>740</v>
      </c>
      <c r="I233" s="3" t="s">
        <v>644</v>
      </c>
      <c r="J233" s="3">
        <v>14.8925</v>
      </c>
      <c r="K233" s="3" t="s">
        <v>806</v>
      </c>
      <c r="L233" s="3">
        <v>61.106666666666669</v>
      </c>
      <c r="M233" s="3" t="s">
        <v>836</v>
      </c>
      <c r="N233" s="4">
        <v>389</v>
      </c>
      <c r="O233" s="5">
        <v>43123</v>
      </c>
      <c r="P233" s="5">
        <v>43130</v>
      </c>
      <c r="Q233" s="3" t="s">
        <v>136</v>
      </c>
      <c r="R233" s="3" t="s">
        <v>41</v>
      </c>
      <c r="S233" s="3" t="s">
        <v>767</v>
      </c>
      <c r="T233" s="4">
        <v>290</v>
      </c>
      <c r="U233" s="4">
        <v>100</v>
      </c>
      <c r="V233" s="4">
        <v>0</v>
      </c>
      <c r="W233" s="3" t="s">
        <v>647</v>
      </c>
      <c r="X233" s="3" t="s">
        <v>43</v>
      </c>
    </row>
    <row r="234" spans="1:24" ht="12.9" customHeight="1" x14ac:dyDescent="0.3">
      <c r="A234" s="3" t="s">
        <v>637</v>
      </c>
      <c r="B234" s="4">
        <v>13821</v>
      </c>
      <c r="C234" s="3" t="s">
        <v>739</v>
      </c>
      <c r="D234" s="3" t="s">
        <v>639</v>
      </c>
      <c r="E234" s="3" t="s">
        <v>640</v>
      </c>
      <c r="F234" s="3" t="s">
        <v>654</v>
      </c>
      <c r="G234" s="3" t="s">
        <v>642</v>
      </c>
      <c r="H234" s="3" t="s">
        <v>740</v>
      </c>
      <c r="I234" s="3" t="s">
        <v>644</v>
      </c>
      <c r="J234" s="3">
        <v>14.8925</v>
      </c>
      <c r="K234" s="3" t="s">
        <v>806</v>
      </c>
      <c r="L234" s="3">
        <v>61.106666666666669</v>
      </c>
      <c r="M234" s="3" t="s">
        <v>836</v>
      </c>
      <c r="N234" s="4">
        <v>389</v>
      </c>
      <c r="O234" s="5">
        <v>43123</v>
      </c>
      <c r="P234" s="5">
        <v>43130</v>
      </c>
      <c r="Q234" s="3" t="s">
        <v>136</v>
      </c>
      <c r="R234" s="3" t="s">
        <v>41</v>
      </c>
      <c r="S234" s="3" t="s">
        <v>767</v>
      </c>
      <c r="T234" s="4">
        <v>324</v>
      </c>
      <c r="U234" s="4">
        <v>105</v>
      </c>
      <c r="V234" s="4">
        <v>0</v>
      </c>
      <c r="W234" s="3" t="s">
        <v>647</v>
      </c>
      <c r="X234" s="3" t="s">
        <v>43</v>
      </c>
    </row>
    <row r="235" spans="1:24" ht="12.9" customHeight="1" x14ac:dyDescent="0.3">
      <c r="A235" s="3" t="s">
        <v>637</v>
      </c>
      <c r="B235" s="4">
        <v>13822</v>
      </c>
      <c r="C235" s="3" t="s">
        <v>739</v>
      </c>
      <c r="D235" s="3" t="s">
        <v>639</v>
      </c>
      <c r="E235" s="3" t="s">
        <v>640</v>
      </c>
      <c r="F235" s="3" t="s">
        <v>654</v>
      </c>
      <c r="G235" s="3" t="s">
        <v>642</v>
      </c>
      <c r="H235" s="3" t="s">
        <v>740</v>
      </c>
      <c r="I235" s="3" t="s">
        <v>644</v>
      </c>
      <c r="J235" s="3">
        <v>14.8925</v>
      </c>
      <c r="K235" s="3" t="s">
        <v>806</v>
      </c>
      <c r="L235" s="3">
        <v>61.106666666666669</v>
      </c>
      <c r="M235" s="3" t="s">
        <v>836</v>
      </c>
      <c r="N235" s="4">
        <v>389</v>
      </c>
      <c r="O235" s="5">
        <v>43123</v>
      </c>
      <c r="P235" s="5">
        <v>43130</v>
      </c>
      <c r="Q235" s="3" t="s">
        <v>136</v>
      </c>
      <c r="R235" s="3" t="s">
        <v>41</v>
      </c>
      <c r="S235" s="3" t="s">
        <v>767</v>
      </c>
      <c r="T235" s="4">
        <v>321</v>
      </c>
      <c r="U235" s="4">
        <v>142</v>
      </c>
      <c r="V235" s="4">
        <v>0</v>
      </c>
      <c r="W235" s="3" t="s">
        <v>647</v>
      </c>
      <c r="X235" s="3" t="s">
        <v>43</v>
      </c>
    </row>
    <row r="236" spans="1:24" ht="12.9" customHeight="1" x14ac:dyDescent="0.3">
      <c r="A236" s="3" t="s">
        <v>637</v>
      </c>
      <c r="B236" s="4">
        <v>13823</v>
      </c>
      <c r="C236" s="3" t="s">
        <v>739</v>
      </c>
      <c r="D236" s="3" t="s">
        <v>639</v>
      </c>
      <c r="E236" s="3" t="s">
        <v>640</v>
      </c>
      <c r="F236" s="3" t="s">
        <v>654</v>
      </c>
      <c r="G236" s="3" t="s">
        <v>642</v>
      </c>
      <c r="H236" s="3" t="s">
        <v>740</v>
      </c>
      <c r="I236" s="3" t="s">
        <v>644</v>
      </c>
      <c r="J236" s="3">
        <v>14.8925</v>
      </c>
      <c r="K236" s="3" t="s">
        <v>806</v>
      </c>
      <c r="L236" s="3">
        <v>61.106666666666669</v>
      </c>
      <c r="M236" s="3" t="s">
        <v>836</v>
      </c>
      <c r="N236" s="4">
        <v>389</v>
      </c>
      <c r="O236" s="5">
        <v>43123</v>
      </c>
      <c r="P236" s="5">
        <v>43130</v>
      </c>
      <c r="Q236" s="3" t="s">
        <v>136</v>
      </c>
      <c r="R236" s="3" t="s">
        <v>41</v>
      </c>
      <c r="S236" s="3" t="s">
        <v>767</v>
      </c>
      <c r="T236" s="4">
        <v>0</v>
      </c>
      <c r="U236" s="4">
        <v>1</v>
      </c>
      <c r="V236" s="4">
        <v>0</v>
      </c>
      <c r="W236" s="3" t="s">
        <v>647</v>
      </c>
      <c r="X236" s="3" t="s">
        <v>43</v>
      </c>
    </row>
    <row r="237" spans="1:24" ht="12.9" customHeight="1" x14ac:dyDescent="0.3">
      <c r="A237" s="3" t="s">
        <v>637</v>
      </c>
      <c r="B237" s="4">
        <v>13824</v>
      </c>
      <c r="C237" s="3" t="s">
        <v>658</v>
      </c>
      <c r="D237" s="3" t="s">
        <v>639</v>
      </c>
      <c r="E237" s="3" t="s">
        <v>640</v>
      </c>
      <c r="F237" s="3" t="s">
        <v>641</v>
      </c>
      <c r="G237" s="3" t="s">
        <v>642</v>
      </c>
      <c r="H237" s="3" t="s">
        <v>643</v>
      </c>
      <c r="I237" s="3" t="s">
        <v>644</v>
      </c>
      <c r="J237" s="3">
        <v>14.878888888888889</v>
      </c>
      <c r="K237" s="3" t="s">
        <v>645</v>
      </c>
      <c r="L237" s="3">
        <v>61.099444444444444</v>
      </c>
      <c r="M237" s="3" t="s">
        <v>812</v>
      </c>
      <c r="N237" s="4">
        <v>333</v>
      </c>
      <c r="O237" s="5">
        <v>43123</v>
      </c>
      <c r="P237" s="5">
        <v>43130</v>
      </c>
      <c r="Q237" s="3" t="s">
        <v>131</v>
      </c>
      <c r="R237" s="3" t="s">
        <v>41</v>
      </c>
      <c r="S237" s="3" t="s">
        <v>767</v>
      </c>
      <c r="T237" s="4">
        <v>220</v>
      </c>
      <c r="U237" s="4">
        <v>97</v>
      </c>
      <c r="V237" s="4">
        <v>0</v>
      </c>
      <c r="W237" s="3" t="s">
        <v>647</v>
      </c>
      <c r="X237" s="3" t="s">
        <v>43</v>
      </c>
    </row>
    <row r="238" spans="1:24" ht="12.9" customHeight="1" x14ac:dyDescent="0.3">
      <c r="A238" s="3" t="s">
        <v>637</v>
      </c>
      <c r="B238" s="4">
        <v>13825</v>
      </c>
      <c r="C238" s="3" t="s">
        <v>741</v>
      </c>
      <c r="D238" s="3" t="s">
        <v>639</v>
      </c>
      <c r="E238" s="3" t="s">
        <v>640</v>
      </c>
      <c r="F238" s="3" t="s">
        <v>641</v>
      </c>
      <c r="G238" s="3" t="s">
        <v>642</v>
      </c>
      <c r="H238" s="3" t="s">
        <v>643</v>
      </c>
      <c r="I238" s="3" t="s">
        <v>644</v>
      </c>
      <c r="J238" s="3">
        <v>14.878888888888889</v>
      </c>
      <c r="K238" s="3" t="s">
        <v>645</v>
      </c>
      <c r="L238" s="3">
        <v>61.099444444444444</v>
      </c>
      <c r="M238" s="3" t="s">
        <v>812</v>
      </c>
      <c r="N238" s="4">
        <v>333</v>
      </c>
      <c r="O238" s="5">
        <v>43123</v>
      </c>
      <c r="P238" s="5">
        <v>43130</v>
      </c>
      <c r="Q238" s="3" t="s">
        <v>128</v>
      </c>
      <c r="R238" s="3" t="s">
        <v>41</v>
      </c>
      <c r="S238" s="3" t="s">
        <v>767</v>
      </c>
      <c r="T238" s="4">
        <v>277</v>
      </c>
      <c r="U238" s="4">
        <v>123</v>
      </c>
      <c r="V238" s="4">
        <v>0</v>
      </c>
      <c r="W238" s="3" t="s">
        <v>647</v>
      </c>
      <c r="X238" s="3" t="s">
        <v>43</v>
      </c>
    </row>
    <row r="239" spans="1:24" ht="12.9" customHeight="1" x14ac:dyDescent="0.3">
      <c r="A239" s="3" t="s">
        <v>637</v>
      </c>
      <c r="B239" s="4">
        <v>13826</v>
      </c>
      <c r="C239" s="3" t="s">
        <v>638</v>
      </c>
      <c r="D239" s="3" t="s">
        <v>639</v>
      </c>
      <c r="E239" s="3" t="s">
        <v>640</v>
      </c>
      <c r="F239" s="3" t="s">
        <v>641</v>
      </c>
      <c r="G239" s="3" t="s">
        <v>642</v>
      </c>
      <c r="H239" s="3" t="s">
        <v>643</v>
      </c>
      <c r="I239" s="3" t="s">
        <v>644</v>
      </c>
      <c r="J239" s="3">
        <v>14.878888888888889</v>
      </c>
      <c r="K239" s="3" t="s">
        <v>645</v>
      </c>
      <c r="L239" s="3">
        <v>61.099444444444444</v>
      </c>
      <c r="M239" s="3" t="s">
        <v>812</v>
      </c>
      <c r="N239" s="4">
        <v>333</v>
      </c>
      <c r="O239" s="5">
        <v>43123</v>
      </c>
      <c r="P239" s="5">
        <v>43130</v>
      </c>
      <c r="Q239" s="3" t="s">
        <v>136</v>
      </c>
      <c r="R239" s="3" t="s">
        <v>41</v>
      </c>
      <c r="S239" s="3" t="s">
        <v>767</v>
      </c>
      <c r="T239" s="4">
        <v>307</v>
      </c>
      <c r="U239" s="4">
        <v>132</v>
      </c>
      <c r="V239" s="4">
        <v>0</v>
      </c>
      <c r="W239" s="3" t="s">
        <v>647</v>
      </c>
      <c r="X239" s="3" t="s">
        <v>43</v>
      </c>
    </row>
    <row r="240" spans="1:24" ht="12.9" customHeight="1" x14ac:dyDescent="0.3">
      <c r="A240" s="3" t="s">
        <v>637</v>
      </c>
      <c r="B240" s="4">
        <v>13827</v>
      </c>
      <c r="C240" s="3" t="s">
        <v>659</v>
      </c>
      <c r="D240" s="3" t="s">
        <v>639</v>
      </c>
      <c r="E240" s="3" t="s">
        <v>640</v>
      </c>
      <c r="F240" s="3" t="s">
        <v>641</v>
      </c>
      <c r="G240" s="3" t="s">
        <v>642</v>
      </c>
      <c r="H240" s="3" t="s">
        <v>660</v>
      </c>
      <c r="I240" s="3" t="s">
        <v>644</v>
      </c>
      <c r="J240" s="3">
        <v>14.876944444444444</v>
      </c>
      <c r="K240" s="3" t="s">
        <v>785</v>
      </c>
      <c r="L240" s="3">
        <v>61.101388888888891</v>
      </c>
      <c r="M240" s="3" t="s">
        <v>816</v>
      </c>
      <c r="N240" s="4">
        <v>337</v>
      </c>
      <c r="O240" s="5">
        <v>43123</v>
      </c>
      <c r="P240" s="5">
        <v>43130</v>
      </c>
      <c r="Q240" s="3" t="s">
        <v>136</v>
      </c>
      <c r="R240" s="3" t="s">
        <v>41</v>
      </c>
      <c r="S240" s="3" t="s">
        <v>767</v>
      </c>
      <c r="T240" s="4">
        <v>280</v>
      </c>
      <c r="U240" s="4">
        <v>84</v>
      </c>
      <c r="V240" s="4">
        <v>435</v>
      </c>
      <c r="W240" s="3" t="s">
        <v>647</v>
      </c>
      <c r="X240" s="3" t="s">
        <v>43</v>
      </c>
    </row>
    <row r="241" spans="1:24" ht="12.9" customHeight="1" x14ac:dyDescent="0.3">
      <c r="A241" s="3" t="s">
        <v>637</v>
      </c>
      <c r="B241" s="4">
        <v>13828</v>
      </c>
      <c r="C241" s="3" t="s">
        <v>742</v>
      </c>
      <c r="D241" s="3" t="s">
        <v>639</v>
      </c>
      <c r="E241" s="3" t="s">
        <v>640</v>
      </c>
      <c r="F241" s="3" t="s">
        <v>641</v>
      </c>
      <c r="G241" s="3" t="s">
        <v>642</v>
      </c>
      <c r="H241" s="3" t="s">
        <v>743</v>
      </c>
      <c r="I241" s="3" t="s">
        <v>644</v>
      </c>
      <c r="J241" s="3">
        <v>14.878611111111111</v>
      </c>
      <c r="K241" s="3" t="s">
        <v>807</v>
      </c>
      <c r="L241" s="3">
        <v>61.106111111111112</v>
      </c>
      <c r="M241" s="3" t="s">
        <v>837</v>
      </c>
      <c r="N241" s="4">
        <v>354</v>
      </c>
      <c r="O241" s="5">
        <v>43123</v>
      </c>
      <c r="P241" s="5">
        <v>43130</v>
      </c>
      <c r="Q241" s="3" t="s">
        <v>136</v>
      </c>
      <c r="R241" s="3" t="s">
        <v>41</v>
      </c>
      <c r="S241" s="3" t="s">
        <v>767</v>
      </c>
      <c r="T241" s="4">
        <v>0</v>
      </c>
      <c r="U241" s="4">
        <v>0</v>
      </c>
      <c r="V241" s="4">
        <v>300</v>
      </c>
      <c r="W241" s="3" t="s">
        <v>647</v>
      </c>
      <c r="X241" s="3" t="s">
        <v>43</v>
      </c>
    </row>
    <row r="242" spans="1:24" ht="12.9" customHeight="1" x14ac:dyDescent="0.3">
      <c r="A242" s="3" t="s">
        <v>637</v>
      </c>
      <c r="B242" s="4">
        <v>13829</v>
      </c>
      <c r="C242" s="3" t="s">
        <v>742</v>
      </c>
      <c r="D242" s="3" t="s">
        <v>639</v>
      </c>
      <c r="E242" s="3" t="s">
        <v>640</v>
      </c>
      <c r="F242" s="3" t="s">
        <v>641</v>
      </c>
      <c r="G242" s="3" t="s">
        <v>642</v>
      </c>
      <c r="H242" s="3" t="s">
        <v>743</v>
      </c>
      <c r="I242" s="3" t="s">
        <v>644</v>
      </c>
      <c r="J242" s="3">
        <v>14.878611111111111</v>
      </c>
      <c r="K242" s="3" t="s">
        <v>807</v>
      </c>
      <c r="L242" s="3">
        <v>61.106111111111112</v>
      </c>
      <c r="M242" s="3" t="s">
        <v>837</v>
      </c>
      <c r="N242" s="4">
        <v>354</v>
      </c>
      <c r="O242" s="5">
        <v>43123</v>
      </c>
      <c r="P242" s="5">
        <v>43130</v>
      </c>
      <c r="Q242" s="3" t="s">
        <v>136</v>
      </c>
      <c r="R242" s="3" t="s">
        <v>41</v>
      </c>
      <c r="S242" s="3" t="s">
        <v>767</v>
      </c>
      <c r="T242" s="4">
        <v>140</v>
      </c>
      <c r="U242" s="4">
        <v>27</v>
      </c>
      <c r="V242" s="4">
        <v>0</v>
      </c>
      <c r="W242" s="3" t="s">
        <v>647</v>
      </c>
      <c r="X242" s="3" t="s">
        <v>43</v>
      </c>
    </row>
    <row r="243" spans="1:24" ht="12.9" customHeight="1" x14ac:dyDescent="0.3">
      <c r="A243" s="3" t="s">
        <v>637</v>
      </c>
      <c r="B243" s="4">
        <v>13830</v>
      </c>
      <c r="C243" s="3" t="s">
        <v>744</v>
      </c>
      <c r="D243" s="3" t="s">
        <v>639</v>
      </c>
      <c r="E243" s="3" t="s">
        <v>640</v>
      </c>
      <c r="F243" s="3" t="s">
        <v>700</v>
      </c>
      <c r="G243" s="3" t="s">
        <v>642</v>
      </c>
      <c r="H243" s="3" t="s">
        <v>701</v>
      </c>
      <c r="I243" s="3" t="s">
        <v>702</v>
      </c>
      <c r="J243" s="3">
        <v>14.795</v>
      </c>
      <c r="K243" s="3" t="s">
        <v>797</v>
      </c>
      <c r="L243" s="3">
        <v>61.194166666666668</v>
      </c>
      <c r="M243" s="3" t="s">
        <v>828</v>
      </c>
      <c r="N243" s="4">
        <v>453</v>
      </c>
      <c r="O243" s="5">
        <v>43126</v>
      </c>
      <c r="P243" s="5">
        <v>43133</v>
      </c>
      <c r="Q243" s="3" t="s">
        <v>131</v>
      </c>
      <c r="R243" s="3" t="s">
        <v>41</v>
      </c>
      <c r="S243" s="3" t="s">
        <v>767</v>
      </c>
      <c r="T243" s="4">
        <v>469</v>
      </c>
      <c r="U243" s="4">
        <v>165</v>
      </c>
      <c r="V243" s="4">
        <v>0</v>
      </c>
      <c r="W243" s="3" t="s">
        <v>647</v>
      </c>
      <c r="X243" s="3" t="s">
        <v>43</v>
      </c>
    </row>
    <row r="244" spans="1:24" ht="12.9" customHeight="1" x14ac:dyDescent="0.3">
      <c r="A244" s="3" t="s">
        <v>637</v>
      </c>
      <c r="B244" s="4">
        <v>13831</v>
      </c>
      <c r="C244" s="3" t="s">
        <v>699</v>
      </c>
      <c r="D244" s="3" t="s">
        <v>639</v>
      </c>
      <c r="E244" s="3" t="s">
        <v>640</v>
      </c>
      <c r="F244" s="3" t="s">
        <v>700</v>
      </c>
      <c r="G244" s="3" t="s">
        <v>642</v>
      </c>
      <c r="H244" s="3" t="s">
        <v>701</v>
      </c>
      <c r="I244" s="3" t="s">
        <v>702</v>
      </c>
      <c r="J244" s="3">
        <v>14.795</v>
      </c>
      <c r="K244" s="3" t="s">
        <v>797</v>
      </c>
      <c r="L244" s="3">
        <v>61.194166666666668</v>
      </c>
      <c r="M244" s="3" t="s">
        <v>828</v>
      </c>
      <c r="N244" s="4">
        <v>453</v>
      </c>
      <c r="O244" s="5">
        <v>43126</v>
      </c>
      <c r="P244" s="5">
        <v>43133</v>
      </c>
      <c r="Q244" s="3" t="s">
        <v>128</v>
      </c>
      <c r="R244" s="3" t="s">
        <v>41</v>
      </c>
      <c r="S244" s="3" t="s">
        <v>767</v>
      </c>
      <c r="T244" s="4">
        <v>0</v>
      </c>
      <c r="U244" s="4">
        <v>0</v>
      </c>
      <c r="V244" s="4">
        <v>732</v>
      </c>
      <c r="W244" s="3" t="s">
        <v>647</v>
      </c>
      <c r="X244" s="3" t="s">
        <v>43</v>
      </c>
    </row>
    <row r="245" spans="1:24" ht="12.9" customHeight="1" x14ac:dyDescent="0.3">
      <c r="A245" s="3" t="s">
        <v>637</v>
      </c>
      <c r="B245" s="4">
        <v>13832</v>
      </c>
      <c r="C245" s="3" t="s">
        <v>745</v>
      </c>
      <c r="D245" s="3" t="s">
        <v>639</v>
      </c>
      <c r="E245" s="3" t="s">
        <v>640</v>
      </c>
      <c r="F245" s="3" t="s">
        <v>700</v>
      </c>
      <c r="G245" s="3" t="s">
        <v>642</v>
      </c>
      <c r="H245" s="3" t="s">
        <v>701</v>
      </c>
      <c r="I245" s="3" t="s">
        <v>702</v>
      </c>
      <c r="J245" s="3">
        <v>14.795</v>
      </c>
      <c r="K245" s="3" t="s">
        <v>797</v>
      </c>
      <c r="L245" s="3">
        <v>61.194166666666668</v>
      </c>
      <c r="M245" s="3" t="s">
        <v>828</v>
      </c>
      <c r="N245" s="4">
        <v>453</v>
      </c>
      <c r="O245" s="5">
        <v>43126</v>
      </c>
      <c r="P245" s="5">
        <v>43133</v>
      </c>
      <c r="Q245" s="3" t="s">
        <v>136</v>
      </c>
      <c r="R245" s="3" t="s">
        <v>41</v>
      </c>
      <c r="S245" s="3" t="s">
        <v>767</v>
      </c>
      <c r="T245" s="4">
        <v>0</v>
      </c>
      <c r="U245" s="4">
        <v>0</v>
      </c>
      <c r="V245" s="4">
        <v>743</v>
      </c>
      <c r="W245" s="3" t="s">
        <v>647</v>
      </c>
      <c r="X245" s="3" t="s">
        <v>43</v>
      </c>
    </row>
    <row r="246" spans="1:24" ht="12.9" customHeight="1" x14ac:dyDescent="0.3">
      <c r="A246" s="3" t="s">
        <v>637</v>
      </c>
      <c r="B246" s="4">
        <v>13833</v>
      </c>
      <c r="C246" s="3" t="s">
        <v>710</v>
      </c>
      <c r="D246" s="3" t="s">
        <v>639</v>
      </c>
      <c r="E246" s="3" t="s">
        <v>640</v>
      </c>
      <c r="F246" s="3" t="s">
        <v>662</v>
      </c>
      <c r="G246" s="3" t="s">
        <v>642</v>
      </c>
      <c r="H246" s="3" t="s">
        <v>711</v>
      </c>
      <c r="I246" s="3" t="s">
        <v>702</v>
      </c>
      <c r="J246" s="3">
        <v>14.759166666666667</v>
      </c>
      <c r="K246" s="3" t="s">
        <v>799</v>
      </c>
      <c r="L246" s="3">
        <v>61.213333333333331</v>
      </c>
      <c r="M246" s="3" t="s">
        <v>830</v>
      </c>
      <c r="N246" s="4">
        <v>486</v>
      </c>
      <c r="O246" s="5">
        <v>43126</v>
      </c>
      <c r="P246" s="5">
        <v>43133</v>
      </c>
      <c r="Q246" s="3" t="s">
        <v>136</v>
      </c>
      <c r="R246" s="3" t="s">
        <v>41</v>
      </c>
      <c r="S246" s="3" t="s">
        <v>767</v>
      </c>
      <c r="T246" s="4">
        <v>0</v>
      </c>
      <c r="U246" s="4">
        <v>0</v>
      </c>
      <c r="V246" s="4">
        <v>883</v>
      </c>
      <c r="W246" s="3" t="s">
        <v>647</v>
      </c>
      <c r="X246" s="3" t="s">
        <v>43</v>
      </c>
    </row>
    <row r="247" spans="1:24" ht="12.9" customHeight="1" x14ac:dyDescent="0.3">
      <c r="A247" s="3" t="s">
        <v>637</v>
      </c>
      <c r="B247" s="4">
        <v>13834</v>
      </c>
      <c r="C247" s="3" t="s">
        <v>661</v>
      </c>
      <c r="D247" s="3" t="s">
        <v>639</v>
      </c>
      <c r="E247" s="3" t="s">
        <v>640</v>
      </c>
      <c r="F247" s="3" t="s">
        <v>662</v>
      </c>
      <c r="G247" s="3" t="s">
        <v>642</v>
      </c>
      <c r="H247" s="3" t="s">
        <v>663</v>
      </c>
      <c r="I247" s="3" t="s">
        <v>664</v>
      </c>
      <c r="J247" s="3">
        <v>14.761944444444444</v>
      </c>
      <c r="K247" s="3" t="s">
        <v>786</v>
      </c>
      <c r="L247" s="3">
        <v>61.083333333333336</v>
      </c>
      <c r="M247" s="3" t="s">
        <v>817</v>
      </c>
      <c r="N247" s="4">
        <v>497</v>
      </c>
      <c r="O247" s="5">
        <v>43126</v>
      </c>
      <c r="P247" s="5">
        <v>43133</v>
      </c>
      <c r="Q247" s="3" t="s">
        <v>136</v>
      </c>
      <c r="R247" s="3" t="s">
        <v>41</v>
      </c>
      <c r="S247" s="3" t="s">
        <v>767</v>
      </c>
      <c r="T247" s="4">
        <v>141</v>
      </c>
      <c r="U247" s="4">
        <v>43</v>
      </c>
      <c r="V247" s="4">
        <v>0</v>
      </c>
      <c r="W247" s="3" t="s">
        <v>647</v>
      </c>
      <c r="X247" s="3" t="s">
        <v>43</v>
      </c>
    </row>
    <row r="248" spans="1:24" ht="12.9" customHeight="1" x14ac:dyDescent="0.3">
      <c r="A248" s="3" t="s">
        <v>637</v>
      </c>
      <c r="B248" s="4">
        <v>13835</v>
      </c>
      <c r="C248" s="3" t="s">
        <v>661</v>
      </c>
      <c r="D248" s="3" t="s">
        <v>639</v>
      </c>
      <c r="E248" s="3" t="s">
        <v>640</v>
      </c>
      <c r="F248" s="3" t="s">
        <v>662</v>
      </c>
      <c r="G248" s="3" t="s">
        <v>642</v>
      </c>
      <c r="H248" s="3" t="s">
        <v>663</v>
      </c>
      <c r="I248" s="3" t="s">
        <v>664</v>
      </c>
      <c r="J248" s="3">
        <v>14.761944444444444</v>
      </c>
      <c r="K248" s="3" t="s">
        <v>786</v>
      </c>
      <c r="L248" s="3">
        <v>61.083333333333336</v>
      </c>
      <c r="M248" s="3" t="s">
        <v>817</v>
      </c>
      <c r="N248" s="4">
        <v>497</v>
      </c>
      <c r="O248" s="5">
        <v>43126</v>
      </c>
      <c r="P248" s="5">
        <v>43133</v>
      </c>
      <c r="Q248" s="3" t="s">
        <v>136</v>
      </c>
      <c r="R248" s="3" t="s">
        <v>41</v>
      </c>
      <c r="S248" s="3" t="s">
        <v>767</v>
      </c>
      <c r="T248" s="4">
        <v>0</v>
      </c>
      <c r="U248" s="4">
        <v>0</v>
      </c>
      <c r="V248" s="4">
        <v>384</v>
      </c>
      <c r="W248" s="3" t="s">
        <v>647</v>
      </c>
      <c r="X248" s="3" t="s">
        <v>43</v>
      </c>
    </row>
    <row r="249" spans="1:24" ht="12.9" customHeight="1" x14ac:dyDescent="0.3">
      <c r="A249" s="3" t="s">
        <v>637</v>
      </c>
      <c r="B249" s="4">
        <v>13836</v>
      </c>
      <c r="C249" s="3" t="s">
        <v>665</v>
      </c>
      <c r="D249" s="3" t="s">
        <v>639</v>
      </c>
      <c r="E249" s="3" t="s">
        <v>640</v>
      </c>
      <c r="F249" s="3" t="s">
        <v>666</v>
      </c>
      <c r="G249" s="3" t="s">
        <v>642</v>
      </c>
      <c r="H249" s="3" t="s">
        <v>667</v>
      </c>
      <c r="I249" s="3" t="s">
        <v>644</v>
      </c>
      <c r="J249" s="3">
        <v>14.731666666666667</v>
      </c>
      <c r="K249" s="3" t="s">
        <v>787</v>
      </c>
      <c r="L249" s="3">
        <v>61.205833333333331</v>
      </c>
      <c r="M249" s="3" t="s">
        <v>818</v>
      </c>
      <c r="N249" s="4">
        <v>554</v>
      </c>
      <c r="O249" s="5">
        <v>43122</v>
      </c>
      <c r="P249" s="5">
        <v>43129</v>
      </c>
      <c r="Q249" s="3" t="s">
        <v>131</v>
      </c>
      <c r="R249" s="3" t="s">
        <v>668</v>
      </c>
      <c r="S249" s="3" t="s">
        <v>767</v>
      </c>
      <c r="T249" s="4">
        <v>233</v>
      </c>
      <c r="U249" s="4">
        <v>124</v>
      </c>
      <c r="V249" s="4">
        <v>0</v>
      </c>
      <c r="W249" s="3" t="s">
        <v>647</v>
      </c>
      <c r="X249" s="3" t="s">
        <v>43</v>
      </c>
    </row>
    <row r="250" spans="1:24" ht="12.9" customHeight="1" x14ac:dyDescent="0.3">
      <c r="A250" s="3" t="s">
        <v>637</v>
      </c>
      <c r="B250" s="4">
        <v>13837</v>
      </c>
      <c r="C250" s="3" t="s">
        <v>665</v>
      </c>
      <c r="D250" s="3" t="s">
        <v>639</v>
      </c>
      <c r="E250" s="3" t="s">
        <v>640</v>
      </c>
      <c r="F250" s="3" t="s">
        <v>666</v>
      </c>
      <c r="G250" s="3" t="s">
        <v>642</v>
      </c>
      <c r="H250" s="3" t="s">
        <v>667</v>
      </c>
      <c r="I250" s="3" t="s">
        <v>644</v>
      </c>
      <c r="J250" s="3">
        <v>14.731666666666667</v>
      </c>
      <c r="K250" s="3" t="s">
        <v>787</v>
      </c>
      <c r="L250" s="3">
        <v>61.205833333333331</v>
      </c>
      <c r="M250" s="3" t="s">
        <v>818</v>
      </c>
      <c r="N250" s="4">
        <v>554</v>
      </c>
      <c r="O250" s="5">
        <v>43122</v>
      </c>
      <c r="P250" s="5">
        <v>43129</v>
      </c>
      <c r="Q250" s="3" t="s">
        <v>131</v>
      </c>
      <c r="R250" s="3" t="s">
        <v>668</v>
      </c>
      <c r="S250" s="3" t="s">
        <v>767</v>
      </c>
      <c r="T250" s="4">
        <v>245</v>
      </c>
      <c r="U250" s="4">
        <v>135</v>
      </c>
      <c r="V250" s="4">
        <v>0</v>
      </c>
      <c r="W250" s="3" t="s">
        <v>647</v>
      </c>
      <c r="X250" s="3" t="s">
        <v>43</v>
      </c>
    </row>
    <row r="251" spans="1:24" ht="12.9" customHeight="1" x14ac:dyDescent="0.3">
      <c r="A251" s="3" t="s">
        <v>637</v>
      </c>
      <c r="B251" s="4">
        <v>13838</v>
      </c>
      <c r="C251" s="3" t="s">
        <v>669</v>
      </c>
      <c r="D251" s="3" t="s">
        <v>639</v>
      </c>
      <c r="E251" s="3" t="s">
        <v>640</v>
      </c>
      <c r="F251" s="3" t="s">
        <v>666</v>
      </c>
      <c r="G251" s="3" t="s">
        <v>642</v>
      </c>
      <c r="H251" s="3" t="s">
        <v>667</v>
      </c>
      <c r="I251" s="3" t="s">
        <v>644</v>
      </c>
      <c r="J251" s="3">
        <v>14.731666666666667</v>
      </c>
      <c r="K251" s="3" t="s">
        <v>787</v>
      </c>
      <c r="L251" s="3">
        <v>61.205833333333331</v>
      </c>
      <c r="M251" s="3" t="s">
        <v>818</v>
      </c>
      <c r="N251" s="4">
        <v>554</v>
      </c>
      <c r="O251" s="5">
        <v>43122</v>
      </c>
      <c r="P251" s="5">
        <v>43129</v>
      </c>
      <c r="Q251" s="3" t="s">
        <v>128</v>
      </c>
      <c r="R251" s="3" t="s">
        <v>668</v>
      </c>
      <c r="S251" s="3" t="s">
        <v>767</v>
      </c>
      <c r="T251" s="4">
        <v>0</v>
      </c>
      <c r="U251" s="4">
        <v>0</v>
      </c>
      <c r="V251" s="4">
        <v>469</v>
      </c>
      <c r="W251" s="3" t="s">
        <v>647</v>
      </c>
      <c r="X251" s="3" t="s">
        <v>43</v>
      </c>
    </row>
    <row r="252" spans="1:24" ht="12.9" customHeight="1" x14ac:dyDescent="0.3">
      <c r="A252" s="3" t="s">
        <v>637</v>
      </c>
      <c r="B252" s="4">
        <v>13839</v>
      </c>
      <c r="C252" s="3" t="s">
        <v>669</v>
      </c>
      <c r="D252" s="3" t="s">
        <v>639</v>
      </c>
      <c r="E252" s="3" t="s">
        <v>640</v>
      </c>
      <c r="F252" s="3" t="s">
        <v>666</v>
      </c>
      <c r="G252" s="3" t="s">
        <v>642</v>
      </c>
      <c r="H252" s="3" t="s">
        <v>667</v>
      </c>
      <c r="I252" s="3" t="s">
        <v>644</v>
      </c>
      <c r="J252" s="3">
        <v>14.731666666666667</v>
      </c>
      <c r="K252" s="3" t="s">
        <v>787</v>
      </c>
      <c r="L252" s="3">
        <v>61.205833333333331</v>
      </c>
      <c r="M252" s="3" t="s">
        <v>818</v>
      </c>
      <c r="N252" s="4">
        <v>554</v>
      </c>
      <c r="O252" s="5">
        <v>43122</v>
      </c>
      <c r="P252" s="5">
        <v>43129</v>
      </c>
      <c r="Q252" s="3" t="s">
        <v>128</v>
      </c>
      <c r="R252" s="3" t="s">
        <v>668</v>
      </c>
      <c r="S252" s="3" t="s">
        <v>767</v>
      </c>
      <c r="T252" s="4">
        <v>228</v>
      </c>
      <c r="U252" s="4">
        <v>161</v>
      </c>
      <c r="V252" s="4">
        <v>0</v>
      </c>
      <c r="W252" s="3" t="s">
        <v>647</v>
      </c>
      <c r="X252" s="3" t="s">
        <v>43</v>
      </c>
    </row>
    <row r="253" spans="1:24" ht="12.9" customHeight="1" x14ac:dyDescent="0.3">
      <c r="A253" s="3" t="s">
        <v>637</v>
      </c>
      <c r="B253" s="4">
        <v>13840</v>
      </c>
      <c r="C253" s="3" t="s">
        <v>746</v>
      </c>
      <c r="D253" s="3" t="s">
        <v>639</v>
      </c>
      <c r="E253" s="3" t="s">
        <v>640</v>
      </c>
      <c r="F253" s="3" t="s">
        <v>666</v>
      </c>
      <c r="G253" s="3" t="s">
        <v>642</v>
      </c>
      <c r="H253" s="3" t="s">
        <v>667</v>
      </c>
      <c r="I253" s="3" t="s">
        <v>644</v>
      </c>
      <c r="J253" s="3">
        <v>14.731666666666667</v>
      </c>
      <c r="K253" s="3" t="s">
        <v>787</v>
      </c>
      <c r="L253" s="3">
        <v>61.205833333333331</v>
      </c>
      <c r="M253" s="3" t="s">
        <v>818</v>
      </c>
      <c r="N253" s="4">
        <v>554</v>
      </c>
      <c r="O253" s="5">
        <v>43122</v>
      </c>
      <c r="P253" s="5">
        <v>43129</v>
      </c>
      <c r="Q253" s="3" t="s">
        <v>136</v>
      </c>
      <c r="R253" s="3" t="s">
        <v>41</v>
      </c>
      <c r="S253" s="3" t="s">
        <v>767</v>
      </c>
      <c r="T253" s="4">
        <v>135</v>
      </c>
      <c r="U253" s="4">
        <v>104</v>
      </c>
      <c r="V253" s="4">
        <v>526</v>
      </c>
      <c r="W253" s="3" t="s">
        <v>647</v>
      </c>
      <c r="X253" s="3" t="s">
        <v>43</v>
      </c>
    </row>
    <row r="254" spans="1:24" ht="12.9" customHeight="1" x14ac:dyDescent="0.3">
      <c r="A254" s="3" t="s">
        <v>637</v>
      </c>
      <c r="B254" s="4">
        <v>13841</v>
      </c>
      <c r="C254" s="3" t="s">
        <v>670</v>
      </c>
      <c r="D254" s="3" t="s">
        <v>639</v>
      </c>
      <c r="E254" s="3" t="s">
        <v>640</v>
      </c>
      <c r="F254" s="3" t="s">
        <v>666</v>
      </c>
      <c r="G254" s="3" t="s">
        <v>642</v>
      </c>
      <c r="H254" s="3" t="s">
        <v>671</v>
      </c>
      <c r="I254" s="3" t="s">
        <v>644</v>
      </c>
      <c r="J254" s="3">
        <v>14.7425</v>
      </c>
      <c r="K254" s="3" t="s">
        <v>788</v>
      </c>
      <c r="L254" s="3">
        <v>61.215555555555554</v>
      </c>
      <c r="M254" s="3" t="s">
        <v>819</v>
      </c>
      <c r="N254" s="4">
        <v>599</v>
      </c>
      <c r="O254" s="5">
        <v>43122</v>
      </c>
      <c r="P254" s="5">
        <v>43129</v>
      </c>
      <c r="Q254" s="3" t="s">
        <v>136</v>
      </c>
      <c r="R254" s="3" t="s">
        <v>668</v>
      </c>
      <c r="S254" s="3" t="s">
        <v>767</v>
      </c>
      <c r="T254" s="4">
        <v>199</v>
      </c>
      <c r="U254" s="4">
        <v>56</v>
      </c>
      <c r="V254" s="4">
        <v>0</v>
      </c>
      <c r="W254" s="3" t="s">
        <v>647</v>
      </c>
      <c r="X254" s="3" t="s">
        <v>43</v>
      </c>
    </row>
    <row r="255" spans="1:24" ht="12.9" customHeight="1" x14ac:dyDescent="0.3">
      <c r="A255" s="3" t="s">
        <v>637</v>
      </c>
      <c r="B255" s="4">
        <v>13842</v>
      </c>
      <c r="C255" s="3" t="s">
        <v>670</v>
      </c>
      <c r="D255" s="3" t="s">
        <v>639</v>
      </c>
      <c r="E255" s="3" t="s">
        <v>640</v>
      </c>
      <c r="F255" s="3" t="s">
        <v>666</v>
      </c>
      <c r="G255" s="3" t="s">
        <v>642</v>
      </c>
      <c r="H255" s="3" t="s">
        <v>671</v>
      </c>
      <c r="I255" s="3" t="s">
        <v>644</v>
      </c>
      <c r="J255" s="3">
        <v>14.7425</v>
      </c>
      <c r="K255" s="3" t="s">
        <v>788</v>
      </c>
      <c r="L255" s="3">
        <v>61.215555555555554</v>
      </c>
      <c r="M255" s="3" t="s">
        <v>819</v>
      </c>
      <c r="N255" s="4">
        <v>599</v>
      </c>
      <c r="O255" s="5">
        <v>43122</v>
      </c>
      <c r="P255" s="5">
        <v>43129</v>
      </c>
      <c r="Q255" s="3" t="s">
        <v>136</v>
      </c>
      <c r="R255" s="3" t="s">
        <v>668</v>
      </c>
      <c r="S255" s="3" t="s">
        <v>767</v>
      </c>
      <c r="T255" s="4">
        <v>347</v>
      </c>
      <c r="U255" s="4">
        <v>105</v>
      </c>
      <c r="V255" s="4">
        <v>0</v>
      </c>
      <c r="W255" s="3" t="s">
        <v>647</v>
      </c>
      <c r="X255" s="3" t="s">
        <v>43</v>
      </c>
    </row>
    <row r="256" spans="1:24" ht="12.9" customHeight="1" x14ac:dyDescent="0.3">
      <c r="A256" s="3" t="s">
        <v>637</v>
      </c>
      <c r="B256" s="4">
        <v>13843</v>
      </c>
      <c r="C256" s="3" t="s">
        <v>703</v>
      </c>
      <c r="D256" s="3" t="s">
        <v>639</v>
      </c>
      <c r="E256" s="3" t="s">
        <v>640</v>
      </c>
      <c r="F256" s="3" t="s">
        <v>673</v>
      </c>
      <c r="G256" s="3" t="s">
        <v>642</v>
      </c>
      <c r="H256" s="3" t="s">
        <v>674</v>
      </c>
      <c r="I256" s="3" t="s">
        <v>664</v>
      </c>
      <c r="J256" s="3">
        <v>14.820833333333333</v>
      </c>
      <c r="K256" s="3" t="s">
        <v>789</v>
      </c>
      <c r="L256" s="3">
        <v>61.136666666666663</v>
      </c>
      <c r="M256" s="3" t="s">
        <v>820</v>
      </c>
      <c r="N256" s="4">
        <v>524</v>
      </c>
      <c r="O256" s="5">
        <v>43124</v>
      </c>
      <c r="P256" s="5">
        <v>43131</v>
      </c>
      <c r="Q256" s="3" t="s">
        <v>131</v>
      </c>
      <c r="R256" s="3" t="s">
        <v>41</v>
      </c>
      <c r="S256" s="3" t="s">
        <v>767</v>
      </c>
      <c r="T256" s="4">
        <v>188</v>
      </c>
      <c r="U256" s="4">
        <v>102</v>
      </c>
      <c r="V256" s="4">
        <v>0</v>
      </c>
      <c r="W256" s="3" t="s">
        <v>647</v>
      </c>
      <c r="X256" s="3" t="s">
        <v>43</v>
      </c>
    </row>
    <row r="257" spans="1:24" ht="12.9" customHeight="1" x14ac:dyDescent="0.3">
      <c r="A257" s="3" t="s">
        <v>637</v>
      </c>
      <c r="B257" s="4">
        <v>13844</v>
      </c>
      <c r="C257" s="3" t="s">
        <v>704</v>
      </c>
      <c r="D257" s="3" t="s">
        <v>639</v>
      </c>
      <c r="E257" s="3" t="s">
        <v>640</v>
      </c>
      <c r="F257" s="3" t="s">
        <v>673</v>
      </c>
      <c r="G257" s="3" t="s">
        <v>642</v>
      </c>
      <c r="H257" s="3" t="s">
        <v>674</v>
      </c>
      <c r="I257" s="3" t="s">
        <v>664</v>
      </c>
      <c r="J257" s="3">
        <v>14.820833333333333</v>
      </c>
      <c r="K257" s="3" t="s">
        <v>789</v>
      </c>
      <c r="L257" s="3">
        <v>61.136666666666663</v>
      </c>
      <c r="M257" s="3" t="s">
        <v>820</v>
      </c>
      <c r="N257" s="4">
        <v>524</v>
      </c>
      <c r="O257" s="5">
        <v>43124</v>
      </c>
      <c r="P257" s="5">
        <v>43131</v>
      </c>
      <c r="Q257" s="3" t="s">
        <v>128</v>
      </c>
      <c r="R257" s="3" t="s">
        <v>41</v>
      </c>
      <c r="S257" s="3" t="s">
        <v>767</v>
      </c>
      <c r="T257" s="4">
        <v>0</v>
      </c>
      <c r="U257" s="4">
        <v>0</v>
      </c>
      <c r="V257" s="4">
        <v>313</v>
      </c>
      <c r="W257" s="3" t="s">
        <v>647</v>
      </c>
      <c r="X257" s="3" t="s">
        <v>43</v>
      </c>
    </row>
    <row r="258" spans="1:24" ht="12.9" customHeight="1" x14ac:dyDescent="0.3">
      <c r="A258" s="3" t="s">
        <v>637</v>
      </c>
      <c r="B258" s="4">
        <v>13845</v>
      </c>
      <c r="C258" s="3" t="s">
        <v>672</v>
      </c>
      <c r="D258" s="3" t="s">
        <v>639</v>
      </c>
      <c r="E258" s="3" t="s">
        <v>640</v>
      </c>
      <c r="F258" s="3" t="s">
        <v>673</v>
      </c>
      <c r="G258" s="3" t="s">
        <v>642</v>
      </c>
      <c r="H258" s="3" t="s">
        <v>674</v>
      </c>
      <c r="I258" s="3" t="s">
        <v>664</v>
      </c>
      <c r="J258" s="3">
        <v>14.820833333333333</v>
      </c>
      <c r="K258" s="3" t="s">
        <v>789</v>
      </c>
      <c r="L258" s="3">
        <v>61.136666666666663</v>
      </c>
      <c r="M258" s="3" t="s">
        <v>820</v>
      </c>
      <c r="N258" s="4">
        <v>524</v>
      </c>
      <c r="O258" s="5">
        <v>43124</v>
      </c>
      <c r="P258" s="5">
        <v>43131</v>
      </c>
      <c r="Q258" s="3" t="s">
        <v>136</v>
      </c>
      <c r="R258" s="3" t="s">
        <v>41</v>
      </c>
      <c r="S258" s="3" t="s">
        <v>767</v>
      </c>
      <c r="T258" s="4">
        <v>330</v>
      </c>
      <c r="U258" s="4">
        <v>166</v>
      </c>
      <c r="V258" s="4">
        <v>0</v>
      </c>
      <c r="W258" s="3" t="s">
        <v>647</v>
      </c>
      <c r="X258" s="3" t="s">
        <v>43</v>
      </c>
    </row>
    <row r="259" spans="1:24" ht="12.9" customHeight="1" x14ac:dyDescent="0.3">
      <c r="A259" s="3" t="s">
        <v>637</v>
      </c>
      <c r="B259" s="4">
        <v>13846</v>
      </c>
      <c r="C259" s="3" t="s">
        <v>675</v>
      </c>
      <c r="D259" s="3" t="s">
        <v>639</v>
      </c>
      <c r="E259" s="3" t="s">
        <v>640</v>
      </c>
      <c r="F259" s="3" t="s">
        <v>673</v>
      </c>
      <c r="G259" s="3" t="s">
        <v>642</v>
      </c>
      <c r="H259" s="3" t="s">
        <v>676</v>
      </c>
      <c r="I259" s="3" t="s">
        <v>664</v>
      </c>
      <c r="J259" s="3">
        <v>14.829444444444444</v>
      </c>
      <c r="K259" s="3" t="s">
        <v>790</v>
      </c>
      <c r="L259" s="3">
        <v>61.136944444444445</v>
      </c>
      <c r="M259" s="3" t="s">
        <v>821</v>
      </c>
      <c r="N259" s="4">
        <v>533</v>
      </c>
      <c r="O259" s="5">
        <v>43124</v>
      </c>
      <c r="P259" s="5">
        <v>43131</v>
      </c>
      <c r="Q259" s="3" t="s">
        <v>136</v>
      </c>
      <c r="R259" s="3" t="s">
        <v>41</v>
      </c>
      <c r="S259" s="3" t="s">
        <v>767</v>
      </c>
      <c r="T259" s="4">
        <v>0</v>
      </c>
      <c r="U259" s="4">
        <v>0</v>
      </c>
      <c r="V259" s="4">
        <v>588</v>
      </c>
      <c r="W259" s="3" t="s">
        <v>647</v>
      </c>
      <c r="X259" s="3" t="s">
        <v>43</v>
      </c>
    </row>
    <row r="260" spans="1:24" ht="12.9" customHeight="1" x14ac:dyDescent="0.3">
      <c r="A260" s="3" t="s">
        <v>637</v>
      </c>
      <c r="B260" s="4">
        <v>13847</v>
      </c>
      <c r="C260" s="3" t="s">
        <v>677</v>
      </c>
      <c r="D260" s="3" t="s">
        <v>639</v>
      </c>
      <c r="E260" s="3" t="s">
        <v>640</v>
      </c>
      <c r="F260" s="3" t="s">
        <v>673</v>
      </c>
      <c r="G260" s="3" t="s">
        <v>642</v>
      </c>
      <c r="H260" s="3" t="s">
        <v>678</v>
      </c>
      <c r="I260" s="3" t="s">
        <v>679</v>
      </c>
      <c r="J260" s="3">
        <v>14.695</v>
      </c>
      <c r="K260" s="3" t="s">
        <v>791</v>
      </c>
      <c r="L260" s="3">
        <v>61.130277777777778</v>
      </c>
      <c r="M260" s="3" t="s">
        <v>822</v>
      </c>
      <c r="N260" s="4">
        <v>529</v>
      </c>
      <c r="O260" s="5">
        <v>43124</v>
      </c>
      <c r="P260" s="5">
        <v>43131</v>
      </c>
      <c r="Q260" s="3" t="s">
        <v>136</v>
      </c>
      <c r="R260" s="3" t="s">
        <v>41</v>
      </c>
      <c r="S260" s="3" t="s">
        <v>767</v>
      </c>
      <c r="T260" s="4">
        <v>0</v>
      </c>
      <c r="U260" s="4">
        <v>0</v>
      </c>
      <c r="V260" s="4">
        <v>423</v>
      </c>
      <c r="W260" s="3" t="s">
        <v>647</v>
      </c>
      <c r="X260" s="3" t="s">
        <v>43</v>
      </c>
    </row>
    <row r="261" spans="1:24" ht="12.9" customHeight="1" x14ac:dyDescent="0.3">
      <c r="A261" s="3" t="s">
        <v>637</v>
      </c>
      <c r="B261" s="4">
        <v>13848</v>
      </c>
      <c r="C261" s="3" t="s">
        <v>680</v>
      </c>
      <c r="D261" s="3" t="s">
        <v>639</v>
      </c>
      <c r="E261" s="3" t="s">
        <v>640</v>
      </c>
      <c r="F261" s="3" t="s">
        <v>681</v>
      </c>
      <c r="G261" s="3" t="s">
        <v>642</v>
      </c>
      <c r="H261" s="3" t="s">
        <v>682</v>
      </c>
      <c r="I261" s="3" t="s">
        <v>683</v>
      </c>
      <c r="J261" s="3">
        <v>14.791388888888889</v>
      </c>
      <c r="K261" s="3" t="s">
        <v>792</v>
      </c>
      <c r="L261" s="3">
        <v>61.163611111111109</v>
      </c>
      <c r="M261" s="3" t="s">
        <v>823</v>
      </c>
      <c r="N261" s="4">
        <v>585</v>
      </c>
      <c r="O261" s="5">
        <v>43125</v>
      </c>
      <c r="P261" s="5">
        <v>43132</v>
      </c>
      <c r="Q261" s="3" t="s">
        <v>131</v>
      </c>
      <c r="R261" s="3" t="s">
        <v>41</v>
      </c>
      <c r="S261" s="3" t="s">
        <v>767</v>
      </c>
      <c r="T261" s="4">
        <v>0</v>
      </c>
      <c r="U261" s="4">
        <v>0</v>
      </c>
      <c r="V261" s="4">
        <v>496</v>
      </c>
      <c r="W261" s="3" t="s">
        <v>647</v>
      </c>
      <c r="X261" s="3" t="s">
        <v>43</v>
      </c>
    </row>
    <row r="262" spans="1:24" ht="12.9" customHeight="1" x14ac:dyDescent="0.3">
      <c r="A262" s="3" t="s">
        <v>637</v>
      </c>
      <c r="B262" s="4">
        <v>13849</v>
      </c>
      <c r="C262" s="3" t="s">
        <v>705</v>
      </c>
      <c r="D262" s="3" t="s">
        <v>639</v>
      </c>
      <c r="E262" s="3" t="s">
        <v>640</v>
      </c>
      <c r="F262" s="3" t="s">
        <v>681</v>
      </c>
      <c r="G262" s="3" t="s">
        <v>642</v>
      </c>
      <c r="H262" s="3" t="s">
        <v>682</v>
      </c>
      <c r="I262" s="3" t="s">
        <v>683</v>
      </c>
      <c r="J262" s="3">
        <v>14.791388888888889</v>
      </c>
      <c r="K262" s="3" t="s">
        <v>792</v>
      </c>
      <c r="L262" s="3">
        <v>61.163611111111109</v>
      </c>
      <c r="M262" s="3" t="s">
        <v>823</v>
      </c>
      <c r="N262" s="4">
        <v>585</v>
      </c>
      <c r="O262" s="5">
        <v>43125</v>
      </c>
      <c r="P262" s="5">
        <v>43132</v>
      </c>
      <c r="Q262" s="3" t="s">
        <v>128</v>
      </c>
      <c r="R262" s="3" t="s">
        <v>41</v>
      </c>
      <c r="S262" s="3" t="s">
        <v>767</v>
      </c>
      <c r="T262" s="4">
        <v>0</v>
      </c>
      <c r="U262" s="4">
        <v>0</v>
      </c>
      <c r="V262" s="4">
        <v>391</v>
      </c>
      <c r="W262" s="3" t="s">
        <v>647</v>
      </c>
      <c r="X262" s="3" t="s">
        <v>43</v>
      </c>
    </row>
    <row r="263" spans="1:24" ht="12.9" customHeight="1" x14ac:dyDescent="0.3">
      <c r="A263" s="3" t="s">
        <v>637</v>
      </c>
      <c r="B263" s="4">
        <v>13850</v>
      </c>
      <c r="C263" s="3" t="s">
        <v>747</v>
      </c>
      <c r="D263" s="3" t="s">
        <v>639</v>
      </c>
      <c r="E263" s="3" t="s">
        <v>640</v>
      </c>
      <c r="F263" s="3" t="s">
        <v>681</v>
      </c>
      <c r="G263" s="3" t="s">
        <v>642</v>
      </c>
      <c r="H263" s="3" t="s">
        <v>682</v>
      </c>
      <c r="I263" s="3" t="s">
        <v>683</v>
      </c>
      <c r="J263" s="3">
        <v>14.791388888888889</v>
      </c>
      <c r="K263" s="3" t="s">
        <v>792</v>
      </c>
      <c r="L263" s="3">
        <v>61.163611111111109</v>
      </c>
      <c r="M263" s="3" t="s">
        <v>823</v>
      </c>
      <c r="N263" s="4">
        <v>585</v>
      </c>
      <c r="O263" s="5">
        <v>43125</v>
      </c>
      <c r="P263" s="5">
        <v>43132</v>
      </c>
      <c r="Q263" s="3" t="s">
        <v>136</v>
      </c>
      <c r="R263" s="3" t="s">
        <v>41</v>
      </c>
      <c r="S263" s="3" t="s">
        <v>767</v>
      </c>
      <c r="T263" s="4">
        <v>90</v>
      </c>
      <c r="U263" s="4">
        <v>43</v>
      </c>
      <c r="V263" s="4">
        <v>0</v>
      </c>
      <c r="W263" s="3" t="s">
        <v>647</v>
      </c>
      <c r="X263" s="3" t="s">
        <v>43</v>
      </c>
    </row>
    <row r="264" spans="1:24" ht="12.9" customHeight="1" x14ac:dyDescent="0.3">
      <c r="A264" s="3" t="s">
        <v>637</v>
      </c>
      <c r="B264" s="4">
        <v>13851</v>
      </c>
      <c r="C264" s="3" t="s">
        <v>747</v>
      </c>
      <c r="D264" s="3" t="s">
        <v>639</v>
      </c>
      <c r="E264" s="3" t="s">
        <v>640</v>
      </c>
      <c r="F264" s="3" t="s">
        <v>681</v>
      </c>
      <c r="G264" s="3" t="s">
        <v>642</v>
      </c>
      <c r="H264" s="3" t="s">
        <v>682</v>
      </c>
      <c r="I264" s="3" t="s">
        <v>683</v>
      </c>
      <c r="J264" s="3">
        <v>14.791388888888889</v>
      </c>
      <c r="K264" s="3" t="s">
        <v>792</v>
      </c>
      <c r="L264" s="3">
        <v>61.163611111111109</v>
      </c>
      <c r="M264" s="3" t="s">
        <v>823</v>
      </c>
      <c r="N264" s="4">
        <v>585</v>
      </c>
      <c r="O264" s="5">
        <v>43125</v>
      </c>
      <c r="P264" s="5">
        <v>43132</v>
      </c>
      <c r="Q264" s="3" t="s">
        <v>136</v>
      </c>
      <c r="R264" s="3" t="s">
        <v>41</v>
      </c>
      <c r="S264" s="3" t="s">
        <v>767</v>
      </c>
      <c r="T264" s="4">
        <v>0</v>
      </c>
      <c r="U264" s="4">
        <v>1</v>
      </c>
      <c r="V264" s="4">
        <v>0</v>
      </c>
      <c r="W264" s="3" t="s">
        <v>647</v>
      </c>
      <c r="X264" s="3" t="s">
        <v>43</v>
      </c>
    </row>
    <row r="265" spans="1:24" ht="12.9" customHeight="1" x14ac:dyDescent="0.3">
      <c r="A265" s="3" t="s">
        <v>637</v>
      </c>
      <c r="B265" s="4">
        <v>13852</v>
      </c>
      <c r="C265" s="3" t="s">
        <v>747</v>
      </c>
      <c r="D265" s="3" t="s">
        <v>639</v>
      </c>
      <c r="E265" s="3" t="s">
        <v>640</v>
      </c>
      <c r="F265" s="3" t="s">
        <v>681</v>
      </c>
      <c r="G265" s="3" t="s">
        <v>642</v>
      </c>
      <c r="H265" s="3" t="s">
        <v>682</v>
      </c>
      <c r="I265" s="3" t="s">
        <v>683</v>
      </c>
      <c r="J265" s="3">
        <v>14.791388888888889</v>
      </c>
      <c r="K265" s="3" t="s">
        <v>792</v>
      </c>
      <c r="L265" s="3">
        <v>61.163611111111109</v>
      </c>
      <c r="M265" s="3" t="s">
        <v>823</v>
      </c>
      <c r="N265" s="4">
        <v>585</v>
      </c>
      <c r="O265" s="5">
        <v>43125</v>
      </c>
      <c r="P265" s="5">
        <v>43132</v>
      </c>
      <c r="Q265" s="3" t="s">
        <v>136</v>
      </c>
      <c r="R265" s="3" t="s">
        <v>41</v>
      </c>
      <c r="S265" s="3" t="s">
        <v>767</v>
      </c>
      <c r="T265" s="4">
        <v>286</v>
      </c>
      <c r="U265" s="4">
        <v>139</v>
      </c>
      <c r="V265" s="4">
        <v>0</v>
      </c>
      <c r="W265" s="3" t="s">
        <v>647</v>
      </c>
      <c r="X265" s="3" t="s">
        <v>43</v>
      </c>
    </row>
    <row r="266" spans="1:24" ht="12.9" customHeight="1" x14ac:dyDescent="0.3">
      <c r="A266" s="3" t="s">
        <v>637</v>
      </c>
      <c r="B266" s="4">
        <v>13853</v>
      </c>
      <c r="C266" s="3" t="s">
        <v>684</v>
      </c>
      <c r="D266" s="3" t="s">
        <v>639</v>
      </c>
      <c r="E266" s="3" t="s">
        <v>640</v>
      </c>
      <c r="F266" s="3" t="s">
        <v>681</v>
      </c>
      <c r="G266" s="3" t="s">
        <v>642</v>
      </c>
      <c r="H266" s="3" t="s">
        <v>685</v>
      </c>
      <c r="I266" s="3" t="s">
        <v>686</v>
      </c>
      <c r="J266" s="3">
        <v>14.819722222222222</v>
      </c>
      <c r="K266" s="3" t="s">
        <v>793</v>
      </c>
      <c r="L266" s="3">
        <v>61.215000000000003</v>
      </c>
      <c r="M266" s="3" t="s">
        <v>824</v>
      </c>
      <c r="N266" s="4">
        <v>609</v>
      </c>
      <c r="O266" s="5">
        <v>43125</v>
      </c>
      <c r="P266" s="5">
        <v>43132</v>
      </c>
      <c r="Q266" s="3" t="s">
        <v>136</v>
      </c>
      <c r="R266" s="3" t="s">
        <v>41</v>
      </c>
      <c r="S266" s="3" t="s">
        <v>767</v>
      </c>
      <c r="T266" s="4">
        <v>0</v>
      </c>
      <c r="U266" s="4">
        <v>0</v>
      </c>
      <c r="V266" s="4">
        <v>495</v>
      </c>
      <c r="W266" s="3" t="s">
        <v>647</v>
      </c>
      <c r="X266" s="3" t="s">
        <v>43</v>
      </c>
    </row>
    <row r="267" spans="1:24" ht="12.9" customHeight="1" x14ac:dyDescent="0.3">
      <c r="A267" s="3" t="s">
        <v>637</v>
      </c>
      <c r="B267" s="4">
        <v>13854</v>
      </c>
      <c r="C267" s="3" t="s">
        <v>684</v>
      </c>
      <c r="D267" s="3" t="s">
        <v>639</v>
      </c>
      <c r="E267" s="3" t="s">
        <v>640</v>
      </c>
      <c r="F267" s="3" t="s">
        <v>681</v>
      </c>
      <c r="G267" s="3" t="s">
        <v>642</v>
      </c>
      <c r="H267" s="3" t="s">
        <v>685</v>
      </c>
      <c r="I267" s="3" t="s">
        <v>686</v>
      </c>
      <c r="J267" s="3">
        <v>14.819722222222222</v>
      </c>
      <c r="K267" s="3" t="s">
        <v>793</v>
      </c>
      <c r="L267" s="3">
        <v>61.215000000000003</v>
      </c>
      <c r="M267" s="3" t="s">
        <v>824</v>
      </c>
      <c r="N267" s="4">
        <v>609</v>
      </c>
      <c r="O267" s="5">
        <v>43125</v>
      </c>
      <c r="P267" s="5">
        <v>43132</v>
      </c>
      <c r="Q267" s="3" t="s">
        <v>136</v>
      </c>
      <c r="R267" s="3" t="s">
        <v>41</v>
      </c>
      <c r="S267" s="3" t="s">
        <v>767</v>
      </c>
      <c r="T267" s="4">
        <v>0</v>
      </c>
      <c r="U267" s="4">
        <v>0</v>
      </c>
      <c r="V267" s="4">
        <v>315</v>
      </c>
      <c r="W267" s="3" t="s">
        <v>647</v>
      </c>
      <c r="X267" s="3" t="s">
        <v>43</v>
      </c>
    </row>
    <row r="268" spans="1:24" ht="12.9" customHeight="1" x14ac:dyDescent="0.3">
      <c r="A268" s="3" t="s">
        <v>637</v>
      </c>
      <c r="B268" s="4">
        <v>13855</v>
      </c>
      <c r="C268" s="3" t="s">
        <v>706</v>
      </c>
      <c r="D268" s="3" t="s">
        <v>639</v>
      </c>
      <c r="E268" s="3" t="s">
        <v>640</v>
      </c>
      <c r="F268" s="3" t="s">
        <v>681</v>
      </c>
      <c r="G268" s="3" t="s">
        <v>642</v>
      </c>
      <c r="H268" s="3" t="s">
        <v>707</v>
      </c>
      <c r="I268" s="3" t="s">
        <v>664</v>
      </c>
      <c r="J268" s="3">
        <v>14.790555555555555</v>
      </c>
      <c r="K268" s="3" t="s">
        <v>798</v>
      </c>
      <c r="L268" s="3">
        <v>61.155555555555559</v>
      </c>
      <c r="M268" s="3" t="s">
        <v>829</v>
      </c>
      <c r="N268" s="4">
        <v>592</v>
      </c>
      <c r="O268" s="5">
        <v>43125</v>
      </c>
      <c r="P268" s="5">
        <v>43132</v>
      </c>
      <c r="Q268" s="3" t="s">
        <v>136</v>
      </c>
      <c r="R268" s="3" t="s">
        <v>41</v>
      </c>
      <c r="S268" s="3" t="s">
        <v>767</v>
      </c>
      <c r="T268" s="4">
        <v>0</v>
      </c>
      <c r="U268" s="4">
        <v>0</v>
      </c>
      <c r="V268" s="4">
        <v>584</v>
      </c>
      <c r="W268" s="3" t="s">
        <v>647</v>
      </c>
      <c r="X268" s="3" t="s">
        <v>43</v>
      </c>
    </row>
    <row r="269" spans="1:24" ht="12.9" customHeight="1" x14ac:dyDescent="0.3">
      <c r="A269" s="3" t="s">
        <v>637</v>
      </c>
      <c r="B269" s="4">
        <v>13856</v>
      </c>
      <c r="C269" s="3" t="s">
        <v>735</v>
      </c>
      <c r="D269" s="3" t="s">
        <v>639</v>
      </c>
      <c r="E269" s="3" t="s">
        <v>640</v>
      </c>
      <c r="F269" s="3" t="s">
        <v>730</v>
      </c>
      <c r="G269" s="3" t="s">
        <v>642</v>
      </c>
      <c r="H269" s="3" t="s">
        <v>736</v>
      </c>
      <c r="I269" s="3" t="s">
        <v>737</v>
      </c>
      <c r="J269" s="3">
        <v>14.848333333333333</v>
      </c>
      <c r="K269" s="3" t="s">
        <v>805</v>
      </c>
      <c r="L269" s="3">
        <v>61.192500000000003</v>
      </c>
      <c r="M269" s="3" t="s">
        <v>835</v>
      </c>
      <c r="N269" s="4">
        <v>260</v>
      </c>
      <c r="O269" s="5">
        <v>43127</v>
      </c>
      <c r="P269" s="5">
        <v>43134</v>
      </c>
      <c r="Q269" s="3" t="s">
        <v>136</v>
      </c>
      <c r="R269" s="3" t="s">
        <v>41</v>
      </c>
      <c r="S269" s="3" t="s">
        <v>770</v>
      </c>
      <c r="T269" s="4">
        <v>1</v>
      </c>
      <c r="U269" s="4">
        <v>0</v>
      </c>
      <c r="V269" s="4">
        <v>0</v>
      </c>
      <c r="W269" s="3" t="s">
        <v>647</v>
      </c>
      <c r="X269" s="3" t="s">
        <v>43</v>
      </c>
    </row>
    <row r="270" spans="1:24" ht="12.9" customHeight="1" x14ac:dyDescent="0.3">
      <c r="A270" s="3" t="s">
        <v>637</v>
      </c>
      <c r="B270" s="4">
        <v>13857</v>
      </c>
      <c r="C270" s="3" t="s">
        <v>729</v>
      </c>
      <c r="D270" s="3" t="s">
        <v>639</v>
      </c>
      <c r="E270" s="3" t="s">
        <v>640</v>
      </c>
      <c r="F270" s="3" t="s">
        <v>730</v>
      </c>
      <c r="G270" s="3" t="s">
        <v>642</v>
      </c>
      <c r="H270" s="3" t="s">
        <v>731</v>
      </c>
      <c r="I270" s="3" t="s">
        <v>683</v>
      </c>
      <c r="J270" s="3">
        <v>14.853333333333333</v>
      </c>
      <c r="K270" s="3" t="s">
        <v>804</v>
      </c>
      <c r="L270" s="3">
        <v>61.202222222222225</v>
      </c>
      <c r="M270" s="3" t="s">
        <v>834</v>
      </c>
      <c r="N270" s="4">
        <v>260</v>
      </c>
      <c r="O270" s="5">
        <v>43127</v>
      </c>
      <c r="P270" s="5">
        <v>43134</v>
      </c>
      <c r="Q270" s="3" t="s">
        <v>131</v>
      </c>
      <c r="R270" s="3" t="s">
        <v>41</v>
      </c>
      <c r="S270" s="3" t="s">
        <v>771</v>
      </c>
      <c r="T270" s="4">
        <v>1</v>
      </c>
      <c r="U270" s="4">
        <v>0</v>
      </c>
      <c r="V270" s="4">
        <v>0</v>
      </c>
      <c r="W270" s="3" t="s">
        <v>647</v>
      </c>
      <c r="X270" s="3" t="s">
        <v>43</v>
      </c>
    </row>
    <row r="271" spans="1:24" ht="12.9" customHeight="1" x14ac:dyDescent="0.3">
      <c r="A271" s="3" t="s">
        <v>637</v>
      </c>
      <c r="B271" s="4">
        <v>13858</v>
      </c>
      <c r="C271" s="3" t="s">
        <v>729</v>
      </c>
      <c r="D271" s="3" t="s">
        <v>639</v>
      </c>
      <c r="E271" s="3" t="s">
        <v>640</v>
      </c>
      <c r="F271" s="3" t="s">
        <v>730</v>
      </c>
      <c r="G271" s="3" t="s">
        <v>642</v>
      </c>
      <c r="H271" s="3" t="s">
        <v>731</v>
      </c>
      <c r="I271" s="3" t="s">
        <v>683</v>
      </c>
      <c r="J271" s="3">
        <v>14.853333333333333</v>
      </c>
      <c r="K271" s="3" t="s">
        <v>804</v>
      </c>
      <c r="L271" s="3">
        <v>61.202222222222225</v>
      </c>
      <c r="M271" s="3" t="s">
        <v>834</v>
      </c>
      <c r="N271" s="4">
        <v>260</v>
      </c>
      <c r="O271" s="5">
        <v>43127</v>
      </c>
      <c r="P271" s="5">
        <v>43134</v>
      </c>
      <c r="Q271" s="3" t="s">
        <v>131</v>
      </c>
      <c r="R271" s="3" t="s">
        <v>41</v>
      </c>
      <c r="S271" s="3" t="s">
        <v>771</v>
      </c>
      <c r="T271" s="4">
        <v>2</v>
      </c>
      <c r="U271" s="4">
        <v>1</v>
      </c>
      <c r="V271" s="4">
        <v>0</v>
      </c>
      <c r="W271" s="3" t="s">
        <v>647</v>
      </c>
      <c r="X271" s="3" t="s">
        <v>43</v>
      </c>
    </row>
    <row r="272" spans="1:24" ht="12.9" customHeight="1" x14ac:dyDescent="0.3">
      <c r="A272" s="3" t="s">
        <v>637</v>
      </c>
      <c r="B272" s="4">
        <v>13859</v>
      </c>
      <c r="C272" s="3" t="s">
        <v>695</v>
      </c>
      <c r="D272" s="3" t="s">
        <v>639</v>
      </c>
      <c r="E272" s="3" t="s">
        <v>640</v>
      </c>
      <c r="F272" s="3" t="s">
        <v>649</v>
      </c>
      <c r="G272" s="3" t="s">
        <v>642</v>
      </c>
      <c r="H272" s="3" t="s">
        <v>650</v>
      </c>
      <c r="I272" s="3" t="s">
        <v>651</v>
      </c>
      <c r="J272" s="3">
        <v>14.740833333333333</v>
      </c>
      <c r="K272" s="3" t="s">
        <v>782</v>
      </c>
      <c r="L272" s="3">
        <v>61.101666666666667</v>
      </c>
      <c r="M272" s="3" t="s">
        <v>813</v>
      </c>
      <c r="N272" s="4">
        <v>658</v>
      </c>
      <c r="O272" s="5">
        <v>43133</v>
      </c>
      <c r="P272" s="5">
        <v>43140</v>
      </c>
      <c r="Q272" s="3" t="s">
        <v>136</v>
      </c>
      <c r="R272" s="3" t="s">
        <v>41</v>
      </c>
      <c r="S272" s="3" t="s">
        <v>771</v>
      </c>
      <c r="T272" s="4">
        <v>0</v>
      </c>
      <c r="U272" s="4">
        <v>1</v>
      </c>
      <c r="V272" s="4">
        <v>0</v>
      </c>
      <c r="W272" s="3" t="s">
        <v>647</v>
      </c>
      <c r="X272" s="3" t="s">
        <v>43</v>
      </c>
    </row>
    <row r="273" spans="1:24" ht="12.9" customHeight="1" x14ac:dyDescent="0.3">
      <c r="A273" s="3" t="s">
        <v>637</v>
      </c>
      <c r="B273" s="4">
        <v>13860</v>
      </c>
      <c r="C273" s="3" t="s">
        <v>656</v>
      </c>
      <c r="D273" s="3" t="s">
        <v>639</v>
      </c>
      <c r="E273" s="3" t="s">
        <v>640</v>
      </c>
      <c r="F273" s="3" t="s">
        <v>654</v>
      </c>
      <c r="G273" s="3" t="s">
        <v>642</v>
      </c>
      <c r="H273" s="3" t="s">
        <v>657</v>
      </c>
      <c r="I273" s="3" t="s">
        <v>644</v>
      </c>
      <c r="J273" s="3">
        <v>14.892777777777777</v>
      </c>
      <c r="K273" s="3" t="s">
        <v>784</v>
      </c>
      <c r="L273" s="3">
        <v>61.101944444444442</v>
      </c>
      <c r="M273" s="3" t="s">
        <v>815</v>
      </c>
      <c r="N273" s="4">
        <v>374</v>
      </c>
      <c r="O273" s="5">
        <v>43123</v>
      </c>
      <c r="P273" s="5">
        <v>43130</v>
      </c>
      <c r="Q273" s="3" t="s">
        <v>136</v>
      </c>
      <c r="R273" s="3" t="s">
        <v>41</v>
      </c>
      <c r="S273" s="3" t="s">
        <v>771</v>
      </c>
      <c r="T273" s="4">
        <v>0</v>
      </c>
      <c r="U273" s="4">
        <v>1</v>
      </c>
      <c r="V273" s="4">
        <v>0</v>
      </c>
      <c r="W273" s="3" t="s">
        <v>647</v>
      </c>
      <c r="X273" s="3" t="s">
        <v>43</v>
      </c>
    </row>
    <row r="274" spans="1:24" ht="12.9" customHeight="1" x14ac:dyDescent="0.3">
      <c r="A274" s="3" t="s">
        <v>637</v>
      </c>
      <c r="B274" s="4">
        <v>13861</v>
      </c>
      <c r="C274" s="3" t="s">
        <v>638</v>
      </c>
      <c r="D274" s="3" t="s">
        <v>639</v>
      </c>
      <c r="E274" s="3" t="s">
        <v>640</v>
      </c>
      <c r="F274" s="3" t="s">
        <v>641</v>
      </c>
      <c r="G274" s="3" t="s">
        <v>642</v>
      </c>
      <c r="H274" s="3" t="s">
        <v>643</v>
      </c>
      <c r="I274" s="3" t="s">
        <v>644</v>
      </c>
      <c r="J274" s="3">
        <v>14.878888888888889</v>
      </c>
      <c r="K274" s="3" t="s">
        <v>645</v>
      </c>
      <c r="L274" s="3">
        <v>61.099444444444444</v>
      </c>
      <c r="M274" s="3" t="s">
        <v>812</v>
      </c>
      <c r="N274" s="4">
        <v>333</v>
      </c>
      <c r="O274" s="5">
        <v>43123</v>
      </c>
      <c r="P274" s="5">
        <v>43130</v>
      </c>
      <c r="Q274" s="3" t="s">
        <v>136</v>
      </c>
      <c r="R274" s="3" t="s">
        <v>41</v>
      </c>
      <c r="S274" s="3" t="s">
        <v>771</v>
      </c>
      <c r="T274" s="4">
        <v>1</v>
      </c>
      <c r="U274" s="4">
        <v>0</v>
      </c>
      <c r="V274" s="4">
        <v>0</v>
      </c>
      <c r="W274" s="3" t="s">
        <v>647</v>
      </c>
      <c r="X274" s="3" t="s">
        <v>43</v>
      </c>
    </row>
    <row r="275" spans="1:24" ht="12.9" customHeight="1" x14ac:dyDescent="0.3">
      <c r="A275" s="3" t="s">
        <v>637</v>
      </c>
      <c r="B275" s="4">
        <v>13862</v>
      </c>
      <c r="C275" s="3" t="s">
        <v>745</v>
      </c>
      <c r="D275" s="3" t="s">
        <v>639</v>
      </c>
      <c r="E275" s="3" t="s">
        <v>640</v>
      </c>
      <c r="F275" s="3" t="s">
        <v>700</v>
      </c>
      <c r="G275" s="3" t="s">
        <v>642</v>
      </c>
      <c r="H275" s="3" t="s">
        <v>701</v>
      </c>
      <c r="I275" s="3" t="s">
        <v>702</v>
      </c>
      <c r="J275" s="3">
        <v>14.795</v>
      </c>
      <c r="K275" s="3" t="s">
        <v>797</v>
      </c>
      <c r="L275" s="3">
        <v>61.194166666666668</v>
      </c>
      <c r="M275" s="3" t="s">
        <v>828</v>
      </c>
      <c r="N275" s="4">
        <v>453</v>
      </c>
      <c r="O275" s="5">
        <v>43126</v>
      </c>
      <c r="P275" s="5">
        <v>43133</v>
      </c>
      <c r="Q275" s="3" t="s">
        <v>136</v>
      </c>
      <c r="R275" s="3" t="s">
        <v>41</v>
      </c>
      <c r="S275" s="3" t="s">
        <v>771</v>
      </c>
      <c r="T275" s="4">
        <v>0</v>
      </c>
      <c r="U275" s="4">
        <v>2</v>
      </c>
      <c r="V275" s="4">
        <v>0</v>
      </c>
      <c r="W275" s="3" t="s">
        <v>647</v>
      </c>
      <c r="X275" s="3" t="s">
        <v>43</v>
      </c>
    </row>
    <row r="276" spans="1:24" ht="12.9" customHeight="1" x14ac:dyDescent="0.3">
      <c r="A276" s="3" t="s">
        <v>637</v>
      </c>
      <c r="B276" s="4">
        <v>13863</v>
      </c>
      <c r="C276" s="3" t="s">
        <v>665</v>
      </c>
      <c r="D276" s="3" t="s">
        <v>639</v>
      </c>
      <c r="E276" s="3" t="s">
        <v>640</v>
      </c>
      <c r="F276" s="3" t="s">
        <v>666</v>
      </c>
      <c r="G276" s="3" t="s">
        <v>642</v>
      </c>
      <c r="H276" s="3" t="s">
        <v>667</v>
      </c>
      <c r="I276" s="3" t="s">
        <v>644</v>
      </c>
      <c r="J276" s="3">
        <v>14.731666666666667</v>
      </c>
      <c r="K276" s="3" t="s">
        <v>787</v>
      </c>
      <c r="L276" s="3">
        <v>61.205833333333331</v>
      </c>
      <c r="M276" s="3" t="s">
        <v>818</v>
      </c>
      <c r="N276" s="4">
        <v>554</v>
      </c>
      <c r="O276" s="5">
        <v>43122</v>
      </c>
      <c r="P276" s="5">
        <v>43129</v>
      </c>
      <c r="Q276" s="3" t="s">
        <v>131</v>
      </c>
      <c r="R276" s="3" t="s">
        <v>668</v>
      </c>
      <c r="S276" s="3" t="s">
        <v>771</v>
      </c>
      <c r="T276" s="4">
        <v>0</v>
      </c>
      <c r="U276" s="4">
        <v>1</v>
      </c>
      <c r="V276" s="4">
        <v>0</v>
      </c>
      <c r="W276" s="3" t="s">
        <v>647</v>
      </c>
      <c r="X276" s="3" t="s">
        <v>43</v>
      </c>
    </row>
    <row r="277" spans="1:24" ht="12.9" customHeight="1" x14ac:dyDescent="0.3">
      <c r="A277" s="3" t="s">
        <v>637</v>
      </c>
      <c r="B277" s="4">
        <v>13864</v>
      </c>
      <c r="C277" s="3" t="s">
        <v>670</v>
      </c>
      <c r="D277" s="3" t="s">
        <v>639</v>
      </c>
      <c r="E277" s="3" t="s">
        <v>640</v>
      </c>
      <c r="F277" s="3" t="s">
        <v>666</v>
      </c>
      <c r="G277" s="3" t="s">
        <v>642</v>
      </c>
      <c r="H277" s="3" t="s">
        <v>671</v>
      </c>
      <c r="I277" s="3" t="s">
        <v>644</v>
      </c>
      <c r="J277" s="3">
        <v>14.7425</v>
      </c>
      <c r="K277" s="3" t="s">
        <v>788</v>
      </c>
      <c r="L277" s="3">
        <v>61.215555555555554</v>
      </c>
      <c r="M277" s="3" t="s">
        <v>819</v>
      </c>
      <c r="N277" s="4">
        <v>599</v>
      </c>
      <c r="O277" s="5">
        <v>43122</v>
      </c>
      <c r="P277" s="5">
        <v>43129</v>
      </c>
      <c r="Q277" s="3" t="s">
        <v>136</v>
      </c>
      <c r="R277" s="3" t="s">
        <v>668</v>
      </c>
      <c r="S277" s="3" t="s">
        <v>771</v>
      </c>
      <c r="T277" s="4">
        <v>0</v>
      </c>
      <c r="U277" s="4">
        <v>2</v>
      </c>
      <c r="V277" s="4">
        <v>0</v>
      </c>
      <c r="W277" s="3" t="s">
        <v>647</v>
      </c>
      <c r="X277" s="3" t="s">
        <v>43</v>
      </c>
    </row>
    <row r="278" spans="1:24" ht="12.9" customHeight="1" x14ac:dyDescent="0.3">
      <c r="A278" s="3" t="s">
        <v>637</v>
      </c>
      <c r="B278" s="4">
        <v>13865</v>
      </c>
      <c r="C278" s="3" t="s">
        <v>677</v>
      </c>
      <c r="D278" s="3" t="s">
        <v>639</v>
      </c>
      <c r="E278" s="3" t="s">
        <v>640</v>
      </c>
      <c r="F278" s="3" t="s">
        <v>673</v>
      </c>
      <c r="G278" s="3" t="s">
        <v>642</v>
      </c>
      <c r="H278" s="3" t="s">
        <v>678</v>
      </c>
      <c r="I278" s="3" t="s">
        <v>679</v>
      </c>
      <c r="J278" s="3">
        <v>14.695</v>
      </c>
      <c r="K278" s="3" t="s">
        <v>791</v>
      </c>
      <c r="L278" s="3">
        <v>61.130277777777778</v>
      </c>
      <c r="M278" s="3" t="s">
        <v>822</v>
      </c>
      <c r="N278" s="4">
        <v>529</v>
      </c>
      <c r="O278" s="5">
        <v>43124</v>
      </c>
      <c r="P278" s="5">
        <v>43131</v>
      </c>
      <c r="Q278" s="3" t="s">
        <v>136</v>
      </c>
      <c r="R278" s="3" t="s">
        <v>41</v>
      </c>
      <c r="S278" s="3" t="s">
        <v>771</v>
      </c>
      <c r="T278" s="4">
        <v>0</v>
      </c>
      <c r="U278" s="4">
        <v>2</v>
      </c>
      <c r="V278" s="4">
        <v>0</v>
      </c>
      <c r="W278" s="3" t="s">
        <v>647</v>
      </c>
      <c r="X278" s="3" t="s">
        <v>43</v>
      </c>
    </row>
    <row r="279" spans="1:24" ht="12.9" customHeight="1" x14ac:dyDescent="0.3">
      <c r="A279" s="3" t="s">
        <v>637</v>
      </c>
      <c r="B279" s="4">
        <v>13866</v>
      </c>
      <c r="C279" s="3" t="s">
        <v>747</v>
      </c>
      <c r="D279" s="3" t="s">
        <v>639</v>
      </c>
      <c r="E279" s="3" t="s">
        <v>640</v>
      </c>
      <c r="F279" s="3" t="s">
        <v>681</v>
      </c>
      <c r="G279" s="3" t="s">
        <v>642</v>
      </c>
      <c r="H279" s="3" t="s">
        <v>682</v>
      </c>
      <c r="I279" s="3" t="s">
        <v>683</v>
      </c>
      <c r="J279" s="3">
        <v>14.791388888888889</v>
      </c>
      <c r="K279" s="3" t="s">
        <v>792</v>
      </c>
      <c r="L279" s="3">
        <v>61.163611111111109</v>
      </c>
      <c r="M279" s="3" t="s">
        <v>823</v>
      </c>
      <c r="N279" s="4">
        <v>585</v>
      </c>
      <c r="O279" s="5">
        <v>43125</v>
      </c>
      <c r="P279" s="5">
        <v>43132</v>
      </c>
      <c r="Q279" s="3" t="s">
        <v>136</v>
      </c>
      <c r="R279" s="3" t="s">
        <v>41</v>
      </c>
      <c r="S279" s="3" t="s">
        <v>771</v>
      </c>
      <c r="T279" s="4">
        <v>0</v>
      </c>
      <c r="U279" s="4">
        <v>1</v>
      </c>
      <c r="V279" s="4">
        <v>0</v>
      </c>
      <c r="W279" s="3" t="s">
        <v>647</v>
      </c>
      <c r="X279" s="3" t="s">
        <v>43</v>
      </c>
    </row>
    <row r="280" spans="1:24" ht="12.9" customHeight="1" x14ac:dyDescent="0.3">
      <c r="A280" s="3" t="s">
        <v>637</v>
      </c>
      <c r="B280" s="4">
        <v>13867</v>
      </c>
      <c r="C280" s="3" t="s">
        <v>772</v>
      </c>
      <c r="D280" s="3" t="s">
        <v>639</v>
      </c>
      <c r="E280" s="3" t="s">
        <v>640</v>
      </c>
      <c r="F280" s="3" t="s">
        <v>649</v>
      </c>
      <c r="G280" s="3" t="s">
        <v>642</v>
      </c>
      <c r="H280" s="3" t="s">
        <v>33</v>
      </c>
      <c r="I280" s="3" t="s">
        <v>773</v>
      </c>
      <c r="J280" s="3">
        <v>14.744166666666667</v>
      </c>
      <c r="K280" s="3" t="s">
        <v>795</v>
      </c>
      <c r="L280" s="3">
        <v>61.246944444444445</v>
      </c>
      <c r="M280" s="3" t="s">
        <v>826</v>
      </c>
      <c r="N280" s="4">
        <v>660</v>
      </c>
      <c r="O280" s="6"/>
      <c r="P280" s="5">
        <v>43133</v>
      </c>
      <c r="Q280" s="3" t="s">
        <v>690</v>
      </c>
      <c r="R280" s="3" t="s">
        <v>41</v>
      </c>
      <c r="S280" s="3" t="s">
        <v>774</v>
      </c>
      <c r="T280" s="4">
        <v>0</v>
      </c>
      <c r="U280" s="4">
        <v>1</v>
      </c>
      <c r="V280" s="4">
        <v>0</v>
      </c>
      <c r="W280" s="3" t="s">
        <v>647</v>
      </c>
      <c r="X280" s="3" t="s">
        <v>43</v>
      </c>
    </row>
    <row r="281" spans="1:24" ht="12.9" customHeight="1" x14ac:dyDescent="0.3">
      <c r="A281" s="3" t="s">
        <v>637</v>
      </c>
      <c r="B281" s="4">
        <v>13868</v>
      </c>
      <c r="C281" s="3" t="s">
        <v>734</v>
      </c>
      <c r="D281" s="3" t="s">
        <v>639</v>
      </c>
      <c r="E281" s="3" t="s">
        <v>640</v>
      </c>
      <c r="F281" s="3" t="s">
        <v>730</v>
      </c>
      <c r="G281" s="3" t="s">
        <v>642</v>
      </c>
      <c r="H281" s="3" t="s">
        <v>731</v>
      </c>
      <c r="I281" s="3" t="s">
        <v>683</v>
      </c>
      <c r="J281" s="3">
        <v>14.853333333333333</v>
      </c>
      <c r="K281" s="3" t="s">
        <v>804</v>
      </c>
      <c r="L281" s="3">
        <v>61.202222222222225</v>
      </c>
      <c r="M281" s="3" t="s">
        <v>834</v>
      </c>
      <c r="N281" s="4">
        <v>260</v>
      </c>
      <c r="O281" s="5">
        <v>43127</v>
      </c>
      <c r="P281" s="5">
        <v>43134</v>
      </c>
      <c r="Q281" s="3" t="s">
        <v>136</v>
      </c>
      <c r="R281" s="3" t="s">
        <v>41</v>
      </c>
      <c r="S281" s="3" t="s">
        <v>774</v>
      </c>
      <c r="T281" s="4">
        <v>0</v>
      </c>
      <c r="U281" s="4">
        <v>1</v>
      </c>
      <c r="V281" s="4">
        <v>0</v>
      </c>
      <c r="W281" s="3" t="s">
        <v>647</v>
      </c>
      <c r="X281" s="3" t="s">
        <v>43</v>
      </c>
    </row>
    <row r="282" spans="1:24" ht="12.9" customHeight="1" x14ac:dyDescent="0.3">
      <c r="A282" s="3" t="s">
        <v>637</v>
      </c>
      <c r="B282" s="4">
        <v>13869</v>
      </c>
      <c r="C282" s="3" t="s">
        <v>742</v>
      </c>
      <c r="D282" s="3" t="s">
        <v>639</v>
      </c>
      <c r="E282" s="3" t="s">
        <v>640</v>
      </c>
      <c r="F282" s="3" t="s">
        <v>641</v>
      </c>
      <c r="G282" s="3" t="s">
        <v>642</v>
      </c>
      <c r="H282" s="3" t="s">
        <v>743</v>
      </c>
      <c r="I282" s="3" t="s">
        <v>644</v>
      </c>
      <c r="J282" s="3">
        <v>14.878611111111111</v>
      </c>
      <c r="K282" s="3" t="s">
        <v>807</v>
      </c>
      <c r="L282" s="3">
        <v>61.106111111111112</v>
      </c>
      <c r="M282" s="3" t="s">
        <v>837</v>
      </c>
      <c r="N282" s="4">
        <v>354</v>
      </c>
      <c r="O282" s="5">
        <v>43123</v>
      </c>
      <c r="P282" s="5">
        <v>43130</v>
      </c>
      <c r="Q282" s="3" t="s">
        <v>136</v>
      </c>
      <c r="R282" s="3" t="s">
        <v>41</v>
      </c>
      <c r="S282" s="3" t="s">
        <v>775</v>
      </c>
      <c r="T282" s="4">
        <v>0</v>
      </c>
      <c r="U282" s="4">
        <v>1</v>
      </c>
      <c r="V282" s="4">
        <v>0</v>
      </c>
      <c r="W282" s="3" t="s">
        <v>647</v>
      </c>
      <c r="X282" s="3" t="s">
        <v>43</v>
      </c>
    </row>
    <row r="283" spans="1:24" ht="12.9" customHeight="1" x14ac:dyDescent="0.3">
      <c r="A283" s="3" t="s">
        <v>776</v>
      </c>
      <c r="B283" s="4">
        <v>13870</v>
      </c>
      <c r="C283" s="3" t="s">
        <v>777</v>
      </c>
      <c r="D283" s="3" t="s">
        <v>639</v>
      </c>
      <c r="E283" s="3" t="s">
        <v>640</v>
      </c>
      <c r="F283" s="3" t="s">
        <v>778</v>
      </c>
      <c r="G283" s="3" t="s">
        <v>642</v>
      </c>
      <c r="H283" s="3" t="s">
        <v>33</v>
      </c>
      <c r="I283" s="3" t="s">
        <v>779</v>
      </c>
      <c r="J283" s="3">
        <v>14.832222222222223</v>
      </c>
      <c r="K283" s="3" t="s">
        <v>811</v>
      </c>
      <c r="L283" s="3">
        <v>61.12916666666667</v>
      </c>
      <c r="M283" s="3" t="s">
        <v>841</v>
      </c>
      <c r="N283" s="4">
        <v>494</v>
      </c>
      <c r="O283" s="6"/>
      <c r="P283" s="5">
        <v>42669</v>
      </c>
      <c r="Q283" s="3" t="s">
        <v>36</v>
      </c>
      <c r="R283" s="3" t="s">
        <v>780</v>
      </c>
      <c r="S283" s="3" t="s">
        <v>781</v>
      </c>
      <c r="T283" s="4">
        <v>1</v>
      </c>
      <c r="U283" s="4">
        <v>1</v>
      </c>
      <c r="V283" s="4">
        <v>0</v>
      </c>
      <c r="W283" s="3" t="s">
        <v>647</v>
      </c>
      <c r="X283" s="3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GBIF_Medetera</vt:lpstr>
      <vt:lpstr>Blad1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BROSENS, Dimitri</cp:lastModifiedBy>
  <dcterms:created xsi:type="dcterms:W3CDTF">2022-09-05T07:47:32Z</dcterms:created>
  <dcterms:modified xsi:type="dcterms:W3CDTF">2023-01-17T09:11:45Z</dcterms:modified>
</cp:coreProperties>
</file>